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ivotTables/pivotTable5.xml" ContentType="application/vnd.openxmlformats-officedocument.spreadsheetml.pivotTable+xml"/>
  <Override PartName="/xl/drawings/drawing5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pivotTables/pivotTable6.xml" ContentType="application/vnd.openxmlformats-officedocument.spreadsheetml.pivotTable+xml"/>
  <Override PartName="/xl/drawings/drawing6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pivotTables/pivotTable7.xml" ContentType="application/vnd.openxmlformats-officedocument.spreadsheetml.pivotTable+xml"/>
  <Override PartName="/xl/drawings/drawing7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pivotTables/pivotTable8.xml" ContentType="application/vnd.openxmlformats-officedocument.spreadsheetml.pivotTable+xml"/>
  <Override PartName="/xl/drawings/drawing8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pivotTables/pivotTable9.xml" ContentType="application/vnd.openxmlformats-officedocument.spreadsheetml.pivotTable+xml"/>
  <Override PartName="/xl/drawings/drawing9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pivotTables/pivotTable10.xml" ContentType="application/vnd.openxmlformats-officedocument.spreadsheetml.pivotTable+xml"/>
  <Override PartName="/xl/drawings/drawing10.xml" ContentType="application/vnd.openxmlformats-officedocument.drawing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11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12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saini\OneDrive\Attachments\Desktop\"/>
    </mc:Choice>
  </mc:AlternateContent>
  <xr:revisionPtr revIDLastSave="0" documentId="13_ncr:1_{16377A5A-6D97-408C-9CD9-7A1421886E88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1" sheetId="6" r:id="rId1"/>
    <sheet name="2" sheetId="8" r:id="rId2"/>
    <sheet name="3" sheetId="9" r:id="rId3"/>
    <sheet name="4" sheetId="22" r:id="rId4"/>
    <sheet name="5" sheetId="18" r:id="rId5"/>
    <sheet name="6" sheetId="19" r:id="rId6"/>
    <sheet name="7" sheetId="13" r:id="rId7"/>
    <sheet name="8" sheetId="36" r:id="rId8"/>
    <sheet name="9" sheetId="10" r:id="rId9"/>
    <sheet name="10" sheetId="33" r:id="rId10"/>
    <sheet name="Dashboard 1" sheetId="37" r:id="rId11"/>
    <sheet name="Dashboard 2" sheetId="38" r:id="rId12"/>
    <sheet name="IPL 2025 Matches" sheetId="1" r:id="rId13"/>
    <sheet name="Player Performance" sheetId="2" r:id="rId14"/>
    <sheet name="Team Standings" sheetId="3" r:id="rId15"/>
    <sheet name="IPL Title History" sheetId="4" r:id="rId16"/>
  </sheets>
  <calcPr calcId="191029"/>
  <pivotCaches>
    <pivotCache cacheId="0" r:id="rId17"/>
    <pivotCache cacheId="1" r:id="rId18"/>
    <pivotCache cacheId="2" r:id="rId19"/>
    <pivotCache cacheId="3" r:id="rId20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" i="1" l="1"/>
  <c r="I502" i="2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</calcChain>
</file>

<file path=xl/sharedStrings.xml><?xml version="1.0" encoding="utf-8"?>
<sst xmlns="http://schemas.openxmlformats.org/spreadsheetml/2006/main" count="8540" uniqueCount="1566">
  <si>
    <t>Match_ID</t>
  </si>
  <si>
    <t>Season</t>
  </si>
  <si>
    <t>Match_Date</t>
  </si>
  <si>
    <t>Match_Type</t>
  </si>
  <si>
    <t>Venue</t>
  </si>
  <si>
    <t>Team_1</t>
  </si>
  <si>
    <t>Team_2</t>
  </si>
  <si>
    <t>Team_1_Score</t>
  </si>
  <si>
    <t>Team_2_Score</t>
  </si>
  <si>
    <t>Toss_Winner</t>
  </si>
  <si>
    <t>Toss_Decision</t>
  </si>
  <si>
    <t>Winning_Team</t>
  </si>
  <si>
    <t>Losing_Team</t>
  </si>
  <si>
    <t>Win_Margin</t>
  </si>
  <si>
    <t>Man_of_the_Match</t>
  </si>
  <si>
    <t>IPL25-M001</t>
  </si>
  <si>
    <t>22-Mar-2025</t>
  </si>
  <si>
    <t>League Stage</t>
  </si>
  <si>
    <t>Wankhede Stadium, Mumbai</t>
  </si>
  <si>
    <t>Mumbai Indians</t>
  </si>
  <si>
    <t>Chennai Super Kings</t>
  </si>
  <si>
    <t>152/6 (17.6 ov)</t>
  </si>
  <si>
    <t>204/6 (17.5 ov)</t>
  </si>
  <si>
    <t>Bat</t>
  </si>
  <si>
    <t>9 wickets</t>
  </si>
  <si>
    <t>Karn Sharma</t>
  </si>
  <si>
    <t>IPL25-M002</t>
  </si>
  <si>
    <t>23-Mar-2025</t>
  </si>
  <si>
    <t>Gujarat Titans</t>
  </si>
  <si>
    <t>152/7 (15.4 ov)</t>
  </si>
  <si>
    <t>162/4 (17.3 ov)</t>
  </si>
  <si>
    <t>Field</t>
  </si>
  <si>
    <t>2 wickets</t>
  </si>
  <si>
    <t>Nuwan Thushara</t>
  </si>
  <si>
    <t>IPL25-M003</t>
  </si>
  <si>
    <t>24-Mar-2025</t>
  </si>
  <si>
    <t>M. Chinnaswamy Stadium, Bengaluru</t>
  </si>
  <si>
    <t>Royal Challengers Bengaluru</t>
  </si>
  <si>
    <t>Punjab Kings</t>
  </si>
  <si>
    <t>139/3 (18.1 ov)</t>
  </si>
  <si>
    <t>112/7 (18.3 ov)</t>
  </si>
  <si>
    <t>27 runs</t>
  </si>
  <si>
    <t>Mohammed Siraj</t>
  </si>
  <si>
    <t>IPL25-M004</t>
  </si>
  <si>
    <t>25-Mar-2025</t>
  </si>
  <si>
    <t>Arun Jaitley Stadium, Delhi</t>
  </si>
  <si>
    <t>Delhi Capitals</t>
  </si>
  <si>
    <t>Sunrisers Hyderabad</t>
  </si>
  <si>
    <t>218/3 (16.5 ov)</t>
  </si>
  <si>
    <t>169/6 (18.8 ov)</t>
  </si>
  <si>
    <t>49 runs</t>
  </si>
  <si>
    <t>Prithvi Shaw</t>
  </si>
  <si>
    <t>IPL25-M005</t>
  </si>
  <si>
    <t>26-Mar-2025</t>
  </si>
  <si>
    <t>Narendra Modi Stadium, Ahmedabad</t>
  </si>
  <si>
    <t>Kolkata Knight Riders</t>
  </si>
  <si>
    <t>165/8 (15.2 ov)</t>
  </si>
  <si>
    <t>149/2 (19.5 ov)</t>
  </si>
  <si>
    <t>16 runs</t>
  </si>
  <si>
    <t>Vijay Shankar</t>
  </si>
  <si>
    <t>IPL25-M006</t>
  </si>
  <si>
    <t>27-Mar-2025</t>
  </si>
  <si>
    <t>137/5 (17.4 ov)</t>
  </si>
  <si>
    <t>156/10 (14.3 ov)</t>
  </si>
  <si>
    <t>5 wickets</t>
  </si>
  <si>
    <t>Mohammad Nabi</t>
  </si>
  <si>
    <t>IPL25-M007</t>
  </si>
  <si>
    <t>28-Mar-2025</t>
  </si>
  <si>
    <t>Mullanpur New Chandigarh Stadium, Chandigarh</t>
  </si>
  <si>
    <t>138/5 (15.3 ov)</t>
  </si>
  <si>
    <t>122/4 (19.0 ov)</t>
  </si>
  <si>
    <t>Shikhar Dhawan</t>
  </si>
  <si>
    <t>IPL25-M008</t>
  </si>
  <si>
    <t>29-Mar-2025</t>
  </si>
  <si>
    <t>220/7 (16.5 ov)</t>
  </si>
  <si>
    <t>179/2 (14.5 ov)</t>
  </si>
  <si>
    <t>41 runs</t>
  </si>
  <si>
    <t>Hardik Pandya</t>
  </si>
  <si>
    <t>IPL25-M009</t>
  </si>
  <si>
    <t>30-Mar-2025</t>
  </si>
  <si>
    <t>BRSABV Ekana Cricket Stadium, Lucknow</t>
  </si>
  <si>
    <t>Lucknow Super Giants</t>
  </si>
  <si>
    <t>220/9 (15.3 ov)</t>
  </si>
  <si>
    <t>213/3 (18.8 ov)</t>
  </si>
  <si>
    <t>7 runs</t>
  </si>
  <si>
    <t>Nicholas Pooran</t>
  </si>
  <si>
    <t>IPL25-M010</t>
  </si>
  <si>
    <t>31-Mar-2025</t>
  </si>
  <si>
    <t>229/6 (18.7 ov)</t>
  </si>
  <si>
    <t>203/4 (16.3 ov)</t>
  </si>
  <si>
    <t>26 runs</t>
  </si>
  <si>
    <t>Sam Curran</t>
  </si>
  <si>
    <t>IPL25-M011</t>
  </si>
  <si>
    <t>01-Apr-2025</t>
  </si>
  <si>
    <t>223/10 (17.7 ov)</t>
  </si>
  <si>
    <t>178/5 (15.1 ov)</t>
  </si>
  <si>
    <t>Wanindu Hasaranga</t>
  </si>
  <si>
    <t>IPL25-M012</t>
  </si>
  <si>
    <t>02-Apr-2025</t>
  </si>
  <si>
    <t>178/4 (19.0 ov)</t>
  </si>
  <si>
    <t>126/10 (15.2 ov)</t>
  </si>
  <si>
    <t>52 runs</t>
  </si>
  <si>
    <t>Kane Williamson</t>
  </si>
  <si>
    <t>IPL25-M013</t>
  </si>
  <si>
    <t>03-Apr-2025</t>
  </si>
  <si>
    <t>189/8 (15.7 ov)</t>
  </si>
  <si>
    <t>140/7 (19.5 ov)</t>
  </si>
  <si>
    <t>Cameron Green</t>
  </si>
  <si>
    <t>IPL25-M014</t>
  </si>
  <si>
    <t>04-Apr-2025</t>
  </si>
  <si>
    <t>Eden Gardens, Kolkata</t>
  </si>
  <si>
    <t>231/5 (18.7 ov)</t>
  </si>
  <si>
    <t>153/6 (16.6 ov)</t>
  </si>
  <si>
    <t>8 wickets</t>
  </si>
  <si>
    <t>Shivam Dube</t>
  </si>
  <si>
    <t>IPL25-M015</t>
  </si>
  <si>
    <t>05-Apr-2025</t>
  </si>
  <si>
    <t>MA Chidambaram Stadium, Chennai</t>
  </si>
  <si>
    <t>210/9 (18.6 ov)</t>
  </si>
  <si>
    <t>175/2 (18.1 ov)</t>
  </si>
  <si>
    <t>35 runs</t>
  </si>
  <si>
    <t>Moeen Ali</t>
  </si>
  <si>
    <t>IPL25-M016</t>
  </si>
  <si>
    <t>06-Apr-2025</t>
  </si>
  <si>
    <t>Rajiv Gandhi Intl. Cricket Stadium, Hyderabad</t>
  </si>
  <si>
    <t>175/8 (19.7 ov)</t>
  </si>
  <si>
    <t>142/7 (19.2 ov)</t>
  </si>
  <si>
    <t>33 runs</t>
  </si>
  <si>
    <t>Washington Sundar</t>
  </si>
  <si>
    <t>IPL25-M017</t>
  </si>
  <si>
    <t>07-Apr-2025</t>
  </si>
  <si>
    <t>135/10 (18.9 ov)</t>
  </si>
  <si>
    <t>159/2 (16.6 ov)</t>
  </si>
  <si>
    <t>4 wickets</t>
  </si>
  <si>
    <t>IPL25-M018</t>
  </si>
  <si>
    <t>08-Apr-2025</t>
  </si>
  <si>
    <t>134/9 (15.2 ov)</t>
  </si>
  <si>
    <t>125/3 (19.2 ov)</t>
  </si>
  <si>
    <t>Abhinav Manohar</t>
  </si>
  <si>
    <t>IPL25-M019</t>
  </si>
  <si>
    <t>09-Apr-2025</t>
  </si>
  <si>
    <t>Sawai Mansingh Stadium, Jaipur</t>
  </si>
  <si>
    <t>Rajasthan Royals</t>
  </si>
  <si>
    <t>192/8 (17.6 ov)</t>
  </si>
  <si>
    <t>206/4 (17.0 ov)</t>
  </si>
  <si>
    <t>14 runs</t>
  </si>
  <si>
    <t>Mark Wood</t>
  </si>
  <si>
    <t>IPL25-M020</t>
  </si>
  <si>
    <t>10-Apr-2025</t>
  </si>
  <si>
    <t>136/10 (16.8 ov)</t>
  </si>
  <si>
    <t>207/4 (19.4 ov)</t>
  </si>
  <si>
    <t>6 wickets</t>
  </si>
  <si>
    <t>Phil Salt</t>
  </si>
  <si>
    <t>IPL25-M021</t>
  </si>
  <si>
    <t>11-Apr-2025</t>
  </si>
  <si>
    <t>202/10 (17.2 ov)</t>
  </si>
  <si>
    <t>145/7 (19.2 ov)</t>
  </si>
  <si>
    <t>57 runs</t>
  </si>
  <si>
    <t>Shahbaz Ahmed</t>
  </si>
  <si>
    <t>IPL25-M022</t>
  </si>
  <si>
    <t>12-Apr-2025</t>
  </si>
  <si>
    <t>203/3 (15.8 ov)</t>
  </si>
  <si>
    <t>186/10 (15.9 ov)</t>
  </si>
  <si>
    <t>1 wickets</t>
  </si>
  <si>
    <t>Ravindra Jadeja</t>
  </si>
  <si>
    <t>IPL25-M023</t>
  </si>
  <si>
    <t>13-Apr-2025</t>
  </si>
  <si>
    <t>204/10 (16.4 ov)</t>
  </si>
  <si>
    <t>199/8 (17.8 ov)</t>
  </si>
  <si>
    <t>5 runs</t>
  </si>
  <si>
    <t>Varun Chakravarthy</t>
  </si>
  <si>
    <t>IPL25-M024</t>
  </si>
  <si>
    <t>14-Apr-2025</t>
  </si>
  <si>
    <t>218/2 (15.7 ov)</t>
  </si>
  <si>
    <t>163/2 (15.4 ov)</t>
  </si>
  <si>
    <t>Avesh Khan</t>
  </si>
  <si>
    <t>IPL25-M025</t>
  </si>
  <si>
    <t>15-Apr-2025</t>
  </si>
  <si>
    <t>217/3 (18.2 ov)</t>
  </si>
  <si>
    <t>197/3 (14.2 ov)</t>
  </si>
  <si>
    <t>Manish Pandey</t>
  </si>
  <si>
    <t>IPL25-M026</t>
  </si>
  <si>
    <t>16-Apr-2025</t>
  </si>
  <si>
    <t>133/10 (15.8 ov)</t>
  </si>
  <si>
    <t>211/2 (17.6 ov)</t>
  </si>
  <si>
    <t>78 runs</t>
  </si>
  <si>
    <t>Angkrish Raghuvanshi</t>
  </si>
  <si>
    <t>IPL25-M027</t>
  </si>
  <si>
    <t>17-Apr-2025</t>
  </si>
  <si>
    <t>159/6 (15.2 ov)</t>
  </si>
  <si>
    <t>113/9 (16.4 ov)</t>
  </si>
  <si>
    <t>Sikandar Raza</t>
  </si>
  <si>
    <t>IPL25-M028</t>
  </si>
  <si>
    <t>18-Apr-2025</t>
  </si>
  <si>
    <t>192/8 (17.9 ov)</t>
  </si>
  <si>
    <t>166/7 (18.4 ov)</t>
  </si>
  <si>
    <t>IPL25-M029</t>
  </si>
  <si>
    <t>19-Apr-2025</t>
  </si>
  <si>
    <t>151/6 (15.2 ov)</t>
  </si>
  <si>
    <t>188/8 (19.3 ov)</t>
  </si>
  <si>
    <t>37 runs</t>
  </si>
  <si>
    <t>Mohsin Khan</t>
  </si>
  <si>
    <t>IPL25-M030</t>
  </si>
  <si>
    <t>20-Apr-2025</t>
  </si>
  <si>
    <t>143/3 (18.9 ov)</t>
  </si>
  <si>
    <t>189/9 (18.0 ov)</t>
  </si>
  <si>
    <t>Ricky Bhui</t>
  </si>
  <si>
    <t>IPL25-M031</t>
  </si>
  <si>
    <t>21-Apr-2025</t>
  </si>
  <si>
    <t>229/4 (19.2 ov)</t>
  </si>
  <si>
    <t>153/5 (14.8 ov)</t>
  </si>
  <si>
    <t>76 runs</t>
  </si>
  <si>
    <t>Marco Jansen</t>
  </si>
  <si>
    <t>IPL25-M032</t>
  </si>
  <si>
    <t>22-Apr-2025</t>
  </si>
  <si>
    <t>158/5 (18.8 ov)</t>
  </si>
  <si>
    <t>183/3 (15.5 ov)</t>
  </si>
  <si>
    <t>7 wickets</t>
  </si>
  <si>
    <t>Mitchell Santner</t>
  </si>
  <si>
    <t>IPL25-M033</t>
  </si>
  <si>
    <t>23-Apr-2025</t>
  </si>
  <si>
    <t>202/2 (18.2 ov)</t>
  </si>
  <si>
    <t>217/6 (16.7 ov)</t>
  </si>
  <si>
    <t>Pat Cummins</t>
  </si>
  <si>
    <t>IPL25-M034</t>
  </si>
  <si>
    <t>24-Apr-2025</t>
  </si>
  <si>
    <t>180/3 (15.7 ov)</t>
  </si>
  <si>
    <t>200/3 (16.4 ov)</t>
  </si>
  <si>
    <t>Darshan Nalkande</t>
  </si>
  <si>
    <t>IPL25-M035</t>
  </si>
  <si>
    <t>25-Apr-2025</t>
  </si>
  <si>
    <t>229/5 (15.5 ov)</t>
  </si>
  <si>
    <t>134/5 (16.0 ov)</t>
  </si>
  <si>
    <t>95 runs</t>
  </si>
  <si>
    <t>Rachin Ravindra</t>
  </si>
  <si>
    <t>IPL25-M036</t>
  </si>
  <si>
    <t>26-Apr-2025</t>
  </si>
  <si>
    <t>138/10 (17.4 ov)</t>
  </si>
  <si>
    <t>215/4 (14.7 ov)</t>
  </si>
  <si>
    <t>77 runs</t>
  </si>
  <si>
    <t>Krunal Pandya</t>
  </si>
  <si>
    <t>IPL25-M037</t>
  </si>
  <si>
    <t>27-Apr-2025</t>
  </si>
  <si>
    <t>201/3 (16.9 ov)</t>
  </si>
  <si>
    <t>167/9 (18.7 ov)</t>
  </si>
  <si>
    <t>3 wickets</t>
  </si>
  <si>
    <t>Sandeep Sharma</t>
  </si>
  <si>
    <t>IPL25-M038</t>
  </si>
  <si>
    <t>28-Apr-2025</t>
  </si>
  <si>
    <t>172/7 (15.3 ov)</t>
  </si>
  <si>
    <t>121/5 (15.1 ov)</t>
  </si>
  <si>
    <t>51 runs</t>
  </si>
  <si>
    <t>Devon Conway</t>
  </si>
  <si>
    <t>IPL25-M039</t>
  </si>
  <si>
    <t>29-Apr-2025</t>
  </si>
  <si>
    <t>197/6 (17.6 ov)</t>
  </si>
  <si>
    <t>172/2 (15.2 ov)</t>
  </si>
  <si>
    <t>25 runs</t>
  </si>
  <si>
    <t>Dhruv Jurel</t>
  </si>
  <si>
    <t>IPL25-M040</t>
  </si>
  <si>
    <t>30-Apr-2025</t>
  </si>
  <si>
    <t>145/4 (19.4 ov)</t>
  </si>
  <si>
    <t>117/2 (17.1 ov)</t>
  </si>
  <si>
    <t>Dewald Brevis</t>
  </si>
  <si>
    <t>IPL25-M041</t>
  </si>
  <si>
    <t>01-May-2025</t>
  </si>
  <si>
    <t>167/2 (19.9 ov)</t>
  </si>
  <si>
    <t>140/6 (16.5 ov)</t>
  </si>
  <si>
    <t>Rajat Patidar</t>
  </si>
  <si>
    <t>IPL25-M042</t>
  </si>
  <si>
    <t>02-May-2025</t>
  </si>
  <si>
    <t>185/3 (19.0 ov)</t>
  </si>
  <si>
    <t>149/5 (18.6 ov)</t>
  </si>
  <si>
    <t>Ayush Badoni</t>
  </si>
  <si>
    <t>IPL25-M043</t>
  </si>
  <si>
    <t>03-May-2025</t>
  </si>
  <si>
    <t>199/4 (17.0 ov)</t>
  </si>
  <si>
    <t>180/8 (16.6 ov)</t>
  </si>
  <si>
    <t>Faf du Plessis</t>
  </si>
  <si>
    <t>IPL25-M044</t>
  </si>
  <si>
    <t>04-May-2025</t>
  </si>
  <si>
    <t>212/7 (19.5 ov)</t>
  </si>
  <si>
    <t>139/4 (19.2 ov)</t>
  </si>
  <si>
    <t>Joe Root</t>
  </si>
  <si>
    <t>IPL25-M045</t>
  </si>
  <si>
    <t>05-May-2025</t>
  </si>
  <si>
    <t>183/9 (18.4 ov)</t>
  </si>
  <si>
    <t>146/7 (19.2 ov)</t>
  </si>
  <si>
    <t>Rajan Kumar</t>
  </si>
  <si>
    <t>IPL25-M046</t>
  </si>
  <si>
    <t>06-May-2025</t>
  </si>
  <si>
    <t>153/2 (18.3 ov)</t>
  </si>
  <si>
    <t>148/2 (17.0 ov)</t>
  </si>
  <si>
    <t>Deepak Chahar</t>
  </si>
  <si>
    <t>IPL25-M047</t>
  </si>
  <si>
    <t>07-May-2025</t>
  </si>
  <si>
    <t>142/6 (15.6 ov)</t>
  </si>
  <si>
    <t>139/9 (18.0 ov)</t>
  </si>
  <si>
    <t>IPL25-M048</t>
  </si>
  <si>
    <t>08-May-2025</t>
  </si>
  <si>
    <t>186/3 (18.8 ov)</t>
  </si>
  <si>
    <t>158/2 (15.0 ov)</t>
  </si>
  <si>
    <t>28 runs</t>
  </si>
  <si>
    <t>IPL25-M049</t>
  </si>
  <si>
    <t>09-May-2025</t>
  </si>
  <si>
    <t>231/4 (18.4 ov)</t>
  </si>
  <si>
    <t>155/8 (15.1 ov)</t>
  </si>
  <si>
    <t>Suyash Prabhudessai</t>
  </si>
  <si>
    <t>IPL25-M050</t>
  </si>
  <si>
    <t>10-May-2025</t>
  </si>
  <si>
    <t>196/7 (17.0 ov)</t>
  </si>
  <si>
    <t>126/2 (15.0 ov)</t>
  </si>
  <si>
    <t>Ajinkya Rahane</t>
  </si>
  <si>
    <t>IPL25-M051</t>
  </si>
  <si>
    <t>11-May-2025</t>
  </si>
  <si>
    <t>166/4 (16.9 ov)</t>
  </si>
  <si>
    <t>157/2 (19.9 ov)</t>
  </si>
  <si>
    <t>Mitchell Starc</t>
  </si>
  <si>
    <t>IPL25-M052</t>
  </si>
  <si>
    <t>12-May-2025</t>
  </si>
  <si>
    <t>227/10 (17.4 ov)</t>
  </si>
  <si>
    <t>151/6 (18.2 ov)</t>
  </si>
  <si>
    <t>Amit Mishra</t>
  </si>
  <si>
    <t>IPL25-M053</t>
  </si>
  <si>
    <t>13-May-2025</t>
  </si>
  <si>
    <t>150/7 (17.7 ov)</t>
  </si>
  <si>
    <t>178/10 (16.6 ov)</t>
  </si>
  <si>
    <t>Will Jacks</t>
  </si>
  <si>
    <t>IPL25-M054</t>
  </si>
  <si>
    <t>14-May-2025</t>
  </si>
  <si>
    <t>211/4 (18.0 ov)</t>
  </si>
  <si>
    <t>215/9 (17.3 ov)</t>
  </si>
  <si>
    <t>Sunil Narine</t>
  </si>
  <si>
    <t>IPL25-M055</t>
  </si>
  <si>
    <t>15-May-2025</t>
  </si>
  <si>
    <t>131/8 (19.2 ov)</t>
  </si>
  <si>
    <t>201/10 (15.6 ov)</t>
  </si>
  <si>
    <t>IPL25-M056</t>
  </si>
  <si>
    <t>16-May-2025</t>
  </si>
  <si>
    <t>220/9 (15.9 ov)</t>
  </si>
  <si>
    <t>119/10 (19.9 ov)</t>
  </si>
  <si>
    <t>101 runs</t>
  </si>
  <si>
    <t>Sanju Samson</t>
  </si>
  <si>
    <t>IPL25-M057</t>
  </si>
  <si>
    <t>17-May-2025</t>
  </si>
  <si>
    <t>219/4 (18.4 ov)</t>
  </si>
  <si>
    <t>156/7 (19.0 ov)</t>
  </si>
  <si>
    <t>IPL25-M058</t>
  </si>
  <si>
    <t>18-May-2025</t>
  </si>
  <si>
    <t>186/4 (16.4 ov)</t>
  </si>
  <si>
    <t>228/6 (18.7 ov)</t>
  </si>
  <si>
    <t>Akash Madhwal</t>
  </si>
  <si>
    <t>IPL25-M059</t>
  </si>
  <si>
    <t>19-May-2025</t>
  </si>
  <si>
    <t>178/6 (16.4 ov)</t>
  </si>
  <si>
    <t>218/8 (18.2 ov)</t>
  </si>
  <si>
    <t>Venkatesh Iyer</t>
  </si>
  <si>
    <t>IPL25-M060</t>
  </si>
  <si>
    <t>20-May-2025</t>
  </si>
  <si>
    <t>168/4 (16.0 ov)</t>
  </si>
  <si>
    <t>169/7 (15.3 ov)</t>
  </si>
  <si>
    <t>1 runs</t>
  </si>
  <si>
    <t>B Sai Sudharsan</t>
  </si>
  <si>
    <t>IPL25-M061</t>
  </si>
  <si>
    <t>21-May-2025</t>
  </si>
  <si>
    <t>199/4 (19.3 ov)</t>
  </si>
  <si>
    <t>149/2 (15.0 ov)</t>
  </si>
  <si>
    <t>Anrich Nortje</t>
  </si>
  <si>
    <t>IPL25-M062</t>
  </si>
  <si>
    <t>22-May-2025</t>
  </si>
  <si>
    <t>139/6 (15.7 ov)</t>
  </si>
  <si>
    <t>205/7 (14.9 ov)</t>
  </si>
  <si>
    <t>IPL25-M063</t>
  </si>
  <si>
    <t>23-May-2025</t>
  </si>
  <si>
    <t>159/7 (17.3 ov)</t>
  </si>
  <si>
    <t>204/4 (15.1 ov)</t>
  </si>
  <si>
    <t>45 runs</t>
  </si>
  <si>
    <t>IPL25-M064</t>
  </si>
  <si>
    <t>24-May-2025</t>
  </si>
  <si>
    <t>191/7 (15.7 ov)</t>
  </si>
  <si>
    <t>183/3 (17.0 ov)</t>
  </si>
  <si>
    <t>IPL25-M065</t>
  </si>
  <si>
    <t>25-May-2025</t>
  </si>
  <si>
    <t>220/6 (19.3 ov)</t>
  </si>
  <si>
    <t>230/4 (16.8 ov)</t>
  </si>
  <si>
    <t>Jonny Bairstow</t>
  </si>
  <si>
    <t>IPL25-M066</t>
  </si>
  <si>
    <t>26-May-2025</t>
  </si>
  <si>
    <t>140/5 (19.8 ov)</t>
  </si>
  <si>
    <t>160/3 (16.1 ov)</t>
  </si>
  <si>
    <t>20 runs</t>
  </si>
  <si>
    <t>Jason Holder</t>
  </si>
  <si>
    <t>IPL25-M067</t>
  </si>
  <si>
    <t>27-May-2025</t>
  </si>
  <si>
    <t>188/10 (16.1 ov)</t>
  </si>
  <si>
    <t>214/2 (19.6 ov)</t>
  </si>
  <si>
    <t>Harpreet Brar</t>
  </si>
  <si>
    <t>IPL25-M068</t>
  </si>
  <si>
    <t>28-May-2025</t>
  </si>
  <si>
    <t>145/3 (15.9 ov)</t>
  </si>
  <si>
    <t>219/3 (16.3 ov)</t>
  </si>
  <si>
    <t>IPL25-M069</t>
  </si>
  <si>
    <t>29-May-2025</t>
  </si>
  <si>
    <t>157/4 (19.0 ov)</t>
  </si>
  <si>
    <t>114/3 (17.5 ov)</t>
  </si>
  <si>
    <t>43 runs</t>
  </si>
  <si>
    <t>IPL25-M070</t>
  </si>
  <si>
    <t>30-May-2025</t>
  </si>
  <si>
    <t>222/5 (16.8 ov)</t>
  </si>
  <si>
    <t>177/10 (15.8 ov)</t>
  </si>
  <si>
    <t>Nathan Ellis</t>
  </si>
  <si>
    <t>IPL25-M071</t>
  </si>
  <si>
    <t>Qualifier 1</t>
  </si>
  <si>
    <t>206/3 (17.3 ov)</t>
  </si>
  <si>
    <t>194/4 (20.0 ov)</t>
  </si>
  <si>
    <t>12 runs</t>
  </si>
  <si>
    <t>IPL25-M072</t>
  </si>
  <si>
    <t>Eliminator</t>
  </si>
  <si>
    <t>211/4 (18.5 ov)</t>
  </si>
  <si>
    <t>138/2 (16.8 ov)</t>
  </si>
  <si>
    <t>73 runs</t>
  </si>
  <si>
    <t>Azmatullah Omarzai</t>
  </si>
  <si>
    <t>IPL25-M073</t>
  </si>
  <si>
    <t>Qualifier 2</t>
  </si>
  <si>
    <t>163/2 (18.5 ov)</t>
  </si>
  <si>
    <t>192/4 (17.9 ov)</t>
  </si>
  <si>
    <t>29 runs</t>
  </si>
  <si>
    <t>IPL25-M074</t>
  </si>
  <si>
    <t>Final</t>
  </si>
  <si>
    <t>159/9 (18.1 ov)</t>
  </si>
  <si>
    <t>203/9 (17.8 ov)</t>
  </si>
  <si>
    <t>44 runs</t>
  </si>
  <si>
    <t>Reece Topley</t>
  </si>
  <si>
    <t>Player_ID</t>
  </si>
  <si>
    <t>Player_Name</t>
  </si>
  <si>
    <t>Team</t>
  </si>
  <si>
    <t>Team_Abbr</t>
  </si>
  <si>
    <t>Nationality</t>
  </si>
  <si>
    <t>Role</t>
  </si>
  <si>
    <t>Batting_Style</t>
  </si>
  <si>
    <t>Bowling_Style</t>
  </si>
  <si>
    <t>Matches_Played</t>
  </si>
  <si>
    <t>Innings_Batted</t>
  </si>
  <si>
    <t>Not_Outs</t>
  </si>
  <si>
    <t>Total_Runs</t>
  </si>
  <si>
    <t>Highest_Score</t>
  </si>
  <si>
    <t>Batting_Average</t>
  </si>
  <si>
    <t>Strike_Rate</t>
  </si>
  <si>
    <t>Fifties</t>
  </si>
  <si>
    <t>Hundreds</t>
  </si>
  <si>
    <t>Fours</t>
  </si>
  <si>
    <t>Sixes</t>
  </si>
  <si>
    <t>Ducks</t>
  </si>
  <si>
    <t>Wickets_Taken</t>
  </si>
  <si>
    <t>Bowling_Average</t>
  </si>
  <si>
    <t>Economy_Rate</t>
  </si>
  <si>
    <t>Bowling_Strike_Rate</t>
  </si>
  <si>
    <t>Best_Bowling_Figures</t>
  </si>
  <si>
    <t>Four_Wicket_Hauls</t>
  </si>
  <si>
    <t>Overs_Bowled</t>
  </si>
  <si>
    <t>Catches</t>
  </si>
  <si>
    <t>Stumpings</t>
  </si>
  <si>
    <t>Last_Match_Opponent</t>
  </si>
  <si>
    <t>Last_Match_Result</t>
  </si>
  <si>
    <t>Last_Match_ID</t>
  </si>
  <si>
    <t>Player_of_the_Match</t>
  </si>
  <si>
    <t>Auction_Price_Cr</t>
  </si>
  <si>
    <t>IPL25-P001</t>
  </si>
  <si>
    <t>Rohit Sharma</t>
  </si>
  <si>
    <t>MI</t>
  </si>
  <si>
    <t>Bangladeshi</t>
  </si>
  <si>
    <t>Bowler</t>
  </si>
  <si>
    <t>Right-handed</t>
  </si>
  <si>
    <t>Right-arm Fast</t>
  </si>
  <si>
    <t>5/35</t>
  </si>
  <si>
    <t>Won</t>
  </si>
  <si>
    <t>No</t>
  </si>
  <si>
    <t>IPL25-P002</t>
  </si>
  <si>
    <t>Suryakumar Yadav</t>
  </si>
  <si>
    <t>Pakistani</t>
  </si>
  <si>
    <t>Right-arm Medium</t>
  </si>
  <si>
    <t>5/16</t>
  </si>
  <si>
    <t>IPL25-P003</t>
  </si>
  <si>
    <t>Indian</t>
  </si>
  <si>
    <t>All-rounder</t>
  </si>
  <si>
    <t>4/19</t>
  </si>
  <si>
    <t>Lost</t>
  </si>
  <si>
    <t>IPL25-P004</t>
  </si>
  <si>
    <t>Jasprit Bumrah</t>
  </si>
  <si>
    <t>South African</t>
  </si>
  <si>
    <t>Batsman</t>
  </si>
  <si>
    <t>Left-handed</t>
  </si>
  <si>
    <t>None</t>
  </si>
  <si>
    <t>-</t>
  </si>
  <si>
    <t>IPL25-P005</t>
  </si>
  <si>
    <t>Ishan Kishan</t>
  </si>
  <si>
    <t>IPL25-P006</t>
  </si>
  <si>
    <t>Tim David</t>
  </si>
  <si>
    <t>IPL25-P007</t>
  </si>
  <si>
    <t>Naman Dhir</t>
  </si>
  <si>
    <t>Right-arm Off-spin</t>
  </si>
  <si>
    <t>5/23</t>
  </si>
  <si>
    <t>Yes</t>
  </si>
  <si>
    <t>IPL25-P008</t>
  </si>
  <si>
    <t>Tilak Varma</t>
  </si>
  <si>
    <t>Wicket-keeper Batsman</t>
  </si>
  <si>
    <t>IPL25-P009</t>
  </si>
  <si>
    <t>Romario Shepherd</t>
  </si>
  <si>
    <t>IPL25-P010</t>
  </si>
  <si>
    <t>Left-arm Fast</t>
  </si>
  <si>
    <t>4/29</t>
  </si>
  <si>
    <t>IPL25-P011</t>
  </si>
  <si>
    <t>IPL25-P012</t>
  </si>
  <si>
    <t>Vishnu Vinod</t>
  </si>
  <si>
    <t>Left-arm Spin</t>
  </si>
  <si>
    <t>IPL25-P013</t>
  </si>
  <si>
    <t>Right-arm Leg-spin</t>
  </si>
  <si>
    <t>2/27</t>
  </si>
  <si>
    <t>IPL25-P014</t>
  </si>
  <si>
    <t>IPL25-P015</t>
  </si>
  <si>
    <t>4/38</t>
  </si>
  <si>
    <t>IPL25-P016</t>
  </si>
  <si>
    <t>MS Dhoni</t>
  </si>
  <si>
    <t>CSK</t>
  </si>
  <si>
    <t>IPL25-P017</t>
  </si>
  <si>
    <t>Ruturaj Gaikwad</t>
  </si>
  <si>
    <t>IPL25-P018</t>
  </si>
  <si>
    <t>5/36</t>
  </si>
  <si>
    <t>IPL25-P019</t>
  </si>
  <si>
    <t>5/14</t>
  </si>
  <si>
    <t>IPL25-P020</t>
  </si>
  <si>
    <t>IPL25-P021</t>
  </si>
  <si>
    <t>5/39</t>
  </si>
  <si>
    <t>IPL25-P022</t>
  </si>
  <si>
    <t>IPL25-P023</t>
  </si>
  <si>
    <t>Matheesha Pathirana</t>
  </si>
  <si>
    <t>English</t>
  </si>
  <si>
    <t>IPL25-P024</t>
  </si>
  <si>
    <t>4/14</t>
  </si>
  <si>
    <t>IPL25-P025</t>
  </si>
  <si>
    <t>Tushar Deshpande</t>
  </si>
  <si>
    <t>5/18</t>
  </si>
  <si>
    <t>IPL25-P026</t>
  </si>
  <si>
    <t>Afghan</t>
  </si>
  <si>
    <t>IPL25-P027</t>
  </si>
  <si>
    <t>Daryl Mitchell</t>
  </si>
  <si>
    <t>2/39</t>
  </si>
  <si>
    <t>IPL25-P028</t>
  </si>
  <si>
    <t>Shardul Thakur</t>
  </si>
  <si>
    <t>IPL25-P029</t>
  </si>
  <si>
    <t>IPL25-P030</t>
  </si>
  <si>
    <t>Prashant Solanki</t>
  </si>
  <si>
    <t>3/13</t>
  </si>
  <si>
    <t>IPL25-P031</t>
  </si>
  <si>
    <t>Virat Kohli</t>
  </si>
  <si>
    <t>RCB</t>
  </si>
  <si>
    <t>Left-arm Medium</t>
  </si>
  <si>
    <t>3/36</t>
  </si>
  <si>
    <t>IPL25-P032</t>
  </si>
  <si>
    <t>New Zealand</t>
  </si>
  <si>
    <t>2/11</t>
  </si>
  <si>
    <t>IPL25-P033</t>
  </si>
  <si>
    <t>Glenn Maxwell</t>
  </si>
  <si>
    <t>IPL25-P034</t>
  </si>
  <si>
    <t>IPL25-P035</t>
  </si>
  <si>
    <t>Dinesh Karthik</t>
  </si>
  <si>
    <t>IPL25-P036</t>
  </si>
  <si>
    <t>3/34</t>
  </si>
  <si>
    <t>IPL25-P037</t>
  </si>
  <si>
    <t>IPL25-P038</t>
  </si>
  <si>
    <t>Alzarri Joseph</t>
  </si>
  <si>
    <t>IPL25-P039</t>
  </si>
  <si>
    <t>5/24</t>
  </si>
  <si>
    <t>IPL25-P040</t>
  </si>
  <si>
    <t>Yash Dayal</t>
  </si>
  <si>
    <t>IPL25-P041</t>
  </si>
  <si>
    <t>5/28</t>
  </si>
  <si>
    <t>IPL25-P042</t>
  </si>
  <si>
    <t>Akash Deep</t>
  </si>
  <si>
    <t>IPL25-P043</t>
  </si>
  <si>
    <t>Mahipal Lomror</t>
  </si>
  <si>
    <t>3/20</t>
  </si>
  <si>
    <t>IPL25-P044</t>
  </si>
  <si>
    <t>5/15</t>
  </si>
  <si>
    <t>IPL25-P045</t>
  </si>
  <si>
    <t>2/13</t>
  </si>
  <si>
    <t>IPL25-P046</t>
  </si>
  <si>
    <t>Shreyas Iyer</t>
  </si>
  <si>
    <t>KKR</t>
  </si>
  <si>
    <t>Australian</t>
  </si>
  <si>
    <t>5/22</t>
  </si>
  <si>
    <t>IPL25-P047</t>
  </si>
  <si>
    <t>Andre Russell</t>
  </si>
  <si>
    <t>5/27</t>
  </si>
  <si>
    <t>IPL25-P048</t>
  </si>
  <si>
    <t>2/37</t>
  </si>
  <si>
    <t>IPL25-P049</t>
  </si>
  <si>
    <t>Sri Lankan</t>
  </si>
  <si>
    <t>IPL25-P050</t>
  </si>
  <si>
    <t>3/21</t>
  </si>
  <si>
    <t>IPL25-P051</t>
  </si>
  <si>
    <t>Rinku Singh</t>
  </si>
  <si>
    <t>IPL25-P052</t>
  </si>
  <si>
    <t>West Indian</t>
  </si>
  <si>
    <t>4/30</t>
  </si>
  <si>
    <t>IPL25-P053</t>
  </si>
  <si>
    <t>IPL25-P054</t>
  </si>
  <si>
    <t>IPL25-P055</t>
  </si>
  <si>
    <t>IPL25-P056</t>
  </si>
  <si>
    <t>Harshit Rana</t>
  </si>
  <si>
    <t>0/36</t>
  </si>
  <si>
    <t>IPL25-P057</t>
  </si>
  <si>
    <t>IPL25-P058</t>
  </si>
  <si>
    <t>Rahmanullah Gurbaz</t>
  </si>
  <si>
    <t>IPL25-P059</t>
  </si>
  <si>
    <t>Spencer Johnson</t>
  </si>
  <si>
    <t>2/10</t>
  </si>
  <si>
    <t>IPL25-P060</t>
  </si>
  <si>
    <t>Nitish Rana</t>
  </si>
  <si>
    <t>2/41</t>
  </si>
  <si>
    <t>IPL25-P061</t>
  </si>
  <si>
    <t>David Warner</t>
  </si>
  <si>
    <t>DC</t>
  </si>
  <si>
    <t>4/39</t>
  </si>
  <si>
    <t>IPL25-P062</t>
  </si>
  <si>
    <t>Rishabh Pant</t>
  </si>
  <si>
    <t>IPL25-P063</t>
  </si>
  <si>
    <t>Axar Patel</t>
  </si>
  <si>
    <t>5/42</t>
  </si>
  <si>
    <t>IPL25-P064</t>
  </si>
  <si>
    <t>Kuldeep Yadav</t>
  </si>
  <si>
    <t>3/18</t>
  </si>
  <si>
    <t>IPL25-P065</t>
  </si>
  <si>
    <t>IPL25-P066</t>
  </si>
  <si>
    <t>IPL25-P067</t>
  </si>
  <si>
    <t>Jake Fraser-McGurk</t>
  </si>
  <si>
    <t>IPL25-P068</t>
  </si>
  <si>
    <t>2/38</t>
  </si>
  <si>
    <t>IPL25-P069</t>
  </si>
  <si>
    <t>Ishant Sharma</t>
  </si>
  <si>
    <t>IPL25-P070</t>
  </si>
  <si>
    <t>Khaleel Ahmed</t>
  </si>
  <si>
    <t>IPL25-P071</t>
  </si>
  <si>
    <t>Shai Hope</t>
  </si>
  <si>
    <t>IPL25-P072</t>
  </si>
  <si>
    <t>Tristan Stubbs</t>
  </si>
  <si>
    <t>4/17</t>
  </si>
  <si>
    <t>IPL25-P073</t>
  </si>
  <si>
    <t>Mukesh Kumar</t>
  </si>
  <si>
    <t>IPL25-P074</t>
  </si>
  <si>
    <t>Lalit Yadav</t>
  </si>
  <si>
    <t>IPL25-P075</t>
  </si>
  <si>
    <t>Jhye Richardson</t>
  </si>
  <si>
    <t>IPL25-P076</t>
  </si>
  <si>
    <t>PBKS</t>
  </si>
  <si>
    <t>IPL25-P077</t>
  </si>
  <si>
    <t>IPL25-P078</t>
  </si>
  <si>
    <t>Liam Livingstone</t>
  </si>
  <si>
    <t>IPL25-P079</t>
  </si>
  <si>
    <t>IPL25-P080</t>
  </si>
  <si>
    <t>Arshdeep Singh</t>
  </si>
  <si>
    <t>5/33</t>
  </si>
  <si>
    <t>IPL25-P081</t>
  </si>
  <si>
    <t>Kagiso Rabada</t>
  </si>
  <si>
    <t>IPL25-P082</t>
  </si>
  <si>
    <t>Jitesh Sharma</t>
  </si>
  <si>
    <t>IPL25-P083</t>
  </si>
  <si>
    <t>IPL25-P084</t>
  </si>
  <si>
    <t>3/42</t>
  </si>
  <si>
    <t>IPL25-P085</t>
  </si>
  <si>
    <t>Rilee Rossouw</t>
  </si>
  <si>
    <t>4/20</t>
  </si>
  <si>
    <t>IPL25-P086</t>
  </si>
  <si>
    <t>Prabhsimran Singh</t>
  </si>
  <si>
    <t>IPL25-P087</t>
  </si>
  <si>
    <t>Tanveer Sangha</t>
  </si>
  <si>
    <t>IPL25-P088</t>
  </si>
  <si>
    <t>Shashank Singh</t>
  </si>
  <si>
    <t>4/10</t>
  </si>
  <si>
    <t>IPL25-P089</t>
  </si>
  <si>
    <t>2/25</t>
  </si>
  <si>
    <t>IPL25-P090</t>
  </si>
  <si>
    <t>Atharva Taide</t>
  </si>
  <si>
    <t>IPL25-P091</t>
  </si>
  <si>
    <t>RR</t>
  </si>
  <si>
    <t>3/30</t>
  </si>
  <si>
    <t>IPL25-P092</t>
  </si>
  <si>
    <t>Jos Buttler</t>
  </si>
  <si>
    <t>IPL25-P093</t>
  </si>
  <si>
    <t>Yashasvi Jaiswal</t>
  </si>
  <si>
    <t>IPL25-P094</t>
  </si>
  <si>
    <t>Ravichandran Ashwin</t>
  </si>
  <si>
    <t>5/30</t>
  </si>
  <si>
    <t>IPL25-P095</t>
  </si>
  <si>
    <t>Trent Boult</t>
  </si>
  <si>
    <t>IPL25-P096</t>
  </si>
  <si>
    <t>Shimron Hetmyer</t>
  </si>
  <si>
    <t>IPL25-P097</t>
  </si>
  <si>
    <t>Yuzvendra Chahal</t>
  </si>
  <si>
    <t>IPL25-P098</t>
  </si>
  <si>
    <t>Devdutt Padikkal</t>
  </si>
  <si>
    <t>0/12</t>
  </si>
  <si>
    <t>IPL25-P099</t>
  </si>
  <si>
    <t>IPL25-P100</t>
  </si>
  <si>
    <t>Kuldeep Sen</t>
  </si>
  <si>
    <t>2/26</t>
  </si>
  <si>
    <t>IPL25-P101</t>
  </si>
  <si>
    <t>3/19</t>
  </si>
  <si>
    <t>IPL25-P102</t>
  </si>
  <si>
    <t>Rovman Powell</t>
  </si>
  <si>
    <t>2/23</t>
  </si>
  <si>
    <t>IPL25-P103</t>
  </si>
  <si>
    <t>Adam Zampa</t>
  </si>
  <si>
    <t>IPL25-P104</t>
  </si>
  <si>
    <t>Riyan Parag</t>
  </si>
  <si>
    <t>IPL25-P105</t>
  </si>
  <si>
    <t>IPL25-P106</t>
  </si>
  <si>
    <t>SRH</t>
  </si>
  <si>
    <t>5/41</t>
  </si>
  <si>
    <t>IPL25-P107</t>
  </si>
  <si>
    <t>Travis Head</t>
  </si>
  <si>
    <t>IPL25-P108</t>
  </si>
  <si>
    <t>Heinrich Klaasen</t>
  </si>
  <si>
    <t>IPL25-P109</t>
  </si>
  <si>
    <t>Abhishek Sharma</t>
  </si>
  <si>
    <t>3/41</t>
  </si>
  <si>
    <t>IPL25-P110</t>
  </si>
  <si>
    <t>Bhuvneshwar Kumar</t>
  </si>
  <si>
    <t>IPL25-P111</t>
  </si>
  <si>
    <t>T Natarajan</t>
  </si>
  <si>
    <t>IPL25-P112</t>
  </si>
  <si>
    <t>IPL25-P113</t>
  </si>
  <si>
    <t>Glenn Phillips</t>
  </si>
  <si>
    <t>IPL25-P114</t>
  </si>
  <si>
    <t>IPL25-P115</t>
  </si>
  <si>
    <t>Aiden Markram</t>
  </si>
  <si>
    <t>3/31</t>
  </si>
  <si>
    <t>IPL25-P116</t>
  </si>
  <si>
    <t>Mayank Agarwal</t>
  </si>
  <si>
    <t>5/32</t>
  </si>
  <si>
    <t>IPL25-P117</t>
  </si>
  <si>
    <t>4/31</t>
  </si>
  <si>
    <t>IPL25-P118</t>
  </si>
  <si>
    <t>Jaydev Unadkat</t>
  </si>
  <si>
    <t>IPL25-P119</t>
  </si>
  <si>
    <t>Nitish Reddy</t>
  </si>
  <si>
    <t>3/24</t>
  </si>
  <si>
    <t>IPL25-P120</t>
  </si>
  <si>
    <t>IPL25-P121</t>
  </si>
  <si>
    <t>KL Rahul</t>
  </si>
  <si>
    <t>LSG</t>
  </si>
  <si>
    <t>4/36</t>
  </si>
  <si>
    <t>IPL25-P122</t>
  </si>
  <si>
    <t>2/16</t>
  </si>
  <si>
    <t>IPL25-P123</t>
  </si>
  <si>
    <t>Marcus Stoinis</t>
  </si>
  <si>
    <t>3/38</t>
  </si>
  <si>
    <t>IPL25-P124</t>
  </si>
  <si>
    <t>Ravi Bishnoi</t>
  </si>
  <si>
    <t>IPL25-P125</t>
  </si>
  <si>
    <t>IPL25-P126</t>
  </si>
  <si>
    <t>Quinton de Kock</t>
  </si>
  <si>
    <t>IPL25-P127</t>
  </si>
  <si>
    <t>IPL25-P128</t>
  </si>
  <si>
    <t>Deepak Hooda</t>
  </si>
  <si>
    <t>4/26</t>
  </si>
  <si>
    <t>IPL25-P129</t>
  </si>
  <si>
    <t>IPL25-P130</t>
  </si>
  <si>
    <t>IPL25-P131</t>
  </si>
  <si>
    <t>2/42</t>
  </si>
  <si>
    <t>IPL25-P132</t>
  </si>
  <si>
    <t>Kyle Mayers</t>
  </si>
  <si>
    <t>0/30</t>
  </si>
  <si>
    <t>IPL25-P133</t>
  </si>
  <si>
    <t>IPL25-P134</t>
  </si>
  <si>
    <t>IPL25-P135</t>
  </si>
  <si>
    <t>Prerak Mankad</t>
  </si>
  <si>
    <t>IPL25-P136</t>
  </si>
  <si>
    <t>Shubman Gill</t>
  </si>
  <si>
    <t>GT</t>
  </si>
  <si>
    <t>IPL25-P137</t>
  </si>
  <si>
    <t>3/23</t>
  </si>
  <si>
    <t>IPL25-P138</t>
  </si>
  <si>
    <t>Mohammed Shami</t>
  </si>
  <si>
    <t>IPL25-P139</t>
  </si>
  <si>
    <t>Rashid Khan</t>
  </si>
  <si>
    <t>IPL25-P140</t>
  </si>
  <si>
    <t>David Miller</t>
  </si>
  <si>
    <t>IPL25-P141</t>
  </si>
  <si>
    <t>IPL25-P142</t>
  </si>
  <si>
    <t>4/13</t>
  </si>
  <si>
    <t>IPL25-P143</t>
  </si>
  <si>
    <t>Wriddhiman Saha</t>
  </si>
  <si>
    <t>IPL25-P144</t>
  </si>
  <si>
    <t>IPL25-P145</t>
  </si>
  <si>
    <t>IPL25-P146</t>
  </si>
  <si>
    <t>3/26</t>
  </si>
  <si>
    <t>IPL25-P147</t>
  </si>
  <si>
    <t>Noor Ahmad</t>
  </si>
  <si>
    <t>5/21</t>
  </si>
  <si>
    <t>IPL25-P148</t>
  </si>
  <si>
    <t>Sai Kishore</t>
  </si>
  <si>
    <t>3/40</t>
  </si>
  <si>
    <t>IPL25-P149</t>
  </si>
  <si>
    <t>Joshua Little</t>
  </si>
  <si>
    <t>IPL25-P150</t>
  </si>
  <si>
    <t>3/17</t>
  </si>
  <si>
    <t>IPL25-P151</t>
  </si>
  <si>
    <t>Yuzvendra Chahal (R151)</t>
  </si>
  <si>
    <t>IPL25-P152</t>
  </si>
  <si>
    <t>Sunil Narine (R152)</t>
  </si>
  <si>
    <t>IPL25-P153</t>
  </si>
  <si>
    <t>Shubman Gill (R153)</t>
  </si>
  <si>
    <t>IPL25-P154</t>
  </si>
  <si>
    <t>Arshdeep Singh (R154)</t>
  </si>
  <si>
    <t>IPL25-P155</t>
  </si>
  <si>
    <t>Lalit Yadav (R155)</t>
  </si>
  <si>
    <t>IPL25-P156</t>
  </si>
  <si>
    <t>Sikandar Raza (R156)</t>
  </si>
  <si>
    <t>IPL25-P157</t>
  </si>
  <si>
    <t>Matheesha Pathirana (R157)</t>
  </si>
  <si>
    <t>IPL25-P158</t>
  </si>
  <si>
    <t>Joshua Little (R158)</t>
  </si>
  <si>
    <t>IPL25-P159</t>
  </si>
  <si>
    <t>Mohammed Siraj (R159)</t>
  </si>
  <si>
    <t>IPL25-P160</t>
  </si>
  <si>
    <t>Kyle Mayers (R160)</t>
  </si>
  <si>
    <t>IPL25-P161</t>
  </si>
  <si>
    <t>Shardul Thakur (R161)</t>
  </si>
  <si>
    <t>IPL25-P162</t>
  </si>
  <si>
    <t>Sikandar Raza (R162)</t>
  </si>
  <si>
    <t>IPL25-P163</t>
  </si>
  <si>
    <t>T Natarajan (R163)</t>
  </si>
  <si>
    <t>IPL25-P164</t>
  </si>
  <si>
    <t>Khaleel Ahmed (R164)</t>
  </si>
  <si>
    <t>IPL25-P165</t>
  </si>
  <si>
    <t>Pat Cummins (R165)</t>
  </si>
  <si>
    <t>IPL25-P166</t>
  </si>
  <si>
    <t>Lalit Yadav (R166)</t>
  </si>
  <si>
    <t>IPL25-P167</t>
  </si>
  <si>
    <t>Angkrish Raghuvanshi (R167)</t>
  </si>
  <si>
    <t>IPL25-P168</t>
  </si>
  <si>
    <t>Azmatullah Omarzai (R168)</t>
  </si>
  <si>
    <t>IPL25-P169</t>
  </si>
  <si>
    <t>Angkrish Raghuvanshi (R169)</t>
  </si>
  <si>
    <t>IPL25-P170</t>
  </si>
  <si>
    <t>Yashasvi Jaiswal (R170)</t>
  </si>
  <si>
    <t>IPL25-P171</t>
  </si>
  <si>
    <t>Abhishek Sharma (R171)</t>
  </si>
  <si>
    <t>IPL25-P172</t>
  </si>
  <si>
    <t>Rajat Patidar (R172)</t>
  </si>
  <si>
    <t>IPL25-P173</t>
  </si>
  <si>
    <t>Rohit Sharma (R173)</t>
  </si>
  <si>
    <t>IPL25-P174</t>
  </si>
  <si>
    <t>Ruturaj Gaikwad (R174)</t>
  </si>
  <si>
    <t>IPL25-P175</t>
  </si>
  <si>
    <t>Hardik Pandya (R175)</t>
  </si>
  <si>
    <t>IPL25-P176</t>
  </si>
  <si>
    <t>Suyash Prabhudessai (R176)</t>
  </si>
  <si>
    <t>IPL25-P177</t>
  </si>
  <si>
    <t>Suryakumar Yadav (R177)</t>
  </si>
  <si>
    <t>IPL25-P178</t>
  </si>
  <si>
    <t>Jos Buttler (R178)</t>
  </si>
  <si>
    <t>IPL25-P179</t>
  </si>
  <si>
    <t>Pat Cummins (R179)</t>
  </si>
  <si>
    <t>IPL25-P180</t>
  </si>
  <si>
    <t>Reece Topley (R180)</t>
  </si>
  <si>
    <t>IPL25-P181</t>
  </si>
  <si>
    <t>Pat Cummins (R181)</t>
  </si>
  <si>
    <t>IPL25-P182</t>
  </si>
  <si>
    <t>Kuldeep Yadav (R182)</t>
  </si>
  <si>
    <t>IPL25-P183</t>
  </si>
  <si>
    <t>Yuzvendra Chahal (R183)</t>
  </si>
  <si>
    <t>IPL25-P184</t>
  </si>
  <si>
    <t>Devon Conway (R184)</t>
  </si>
  <si>
    <t>IPL25-P185</t>
  </si>
  <si>
    <t>Suryakumar Yadav (R185)</t>
  </si>
  <si>
    <t>IPL25-P186</t>
  </si>
  <si>
    <t>David Warner (R186)</t>
  </si>
  <si>
    <t>IPL25-P187</t>
  </si>
  <si>
    <t>Sikandar Raza (R187)</t>
  </si>
  <si>
    <t>IPL25-P188</t>
  </si>
  <si>
    <t>Marcus Stoinis (R188)</t>
  </si>
  <si>
    <t>IPL25-P189</t>
  </si>
  <si>
    <t>Jos Buttler (R189)</t>
  </si>
  <si>
    <t>IPL25-P190</t>
  </si>
  <si>
    <t>Prithvi Shaw (R190)</t>
  </si>
  <si>
    <t>IPL25-P191</t>
  </si>
  <si>
    <t>Harpreet Brar (R191)</t>
  </si>
  <si>
    <t>IPL25-P192</t>
  </si>
  <si>
    <t>David Warner (R192)</t>
  </si>
  <si>
    <t>IPL25-P193</t>
  </si>
  <si>
    <t>Mitchell Santner (R193)</t>
  </si>
  <si>
    <t>IPL25-P194</t>
  </si>
  <si>
    <t>Arshdeep Singh (R194)</t>
  </si>
  <si>
    <t>IPL25-P195</t>
  </si>
  <si>
    <t>Heinrich Klaasen (R195)</t>
  </si>
  <si>
    <t>IPL25-P196</t>
  </si>
  <si>
    <t>Mohsin Khan (R196)</t>
  </si>
  <si>
    <t>IPL25-P197</t>
  </si>
  <si>
    <t>Daryl Mitchell (R197)</t>
  </si>
  <si>
    <t>IPL25-P198</t>
  </si>
  <si>
    <t>Vijay Shankar (R198)</t>
  </si>
  <si>
    <t>IPL25-P199</t>
  </si>
  <si>
    <t>Yash Dayal (R199)</t>
  </si>
  <si>
    <t>IPL25-P200</t>
  </si>
  <si>
    <t>Abhishek Sharma (R200)</t>
  </si>
  <si>
    <t>IPL25-P201</t>
  </si>
  <si>
    <t>Tilak Varma (R201)</t>
  </si>
  <si>
    <t>IPL25-P202</t>
  </si>
  <si>
    <t>Ravi Bishnoi (R202)</t>
  </si>
  <si>
    <t>IPL25-P203</t>
  </si>
  <si>
    <t>Aiden Markram (R203)</t>
  </si>
  <si>
    <t>IPL25-P204</t>
  </si>
  <si>
    <t>Faf du Plessis (R204)</t>
  </si>
  <si>
    <t>IPL25-P205</t>
  </si>
  <si>
    <t>Darshan Nalkande (R205)</t>
  </si>
  <si>
    <t>IPL25-P206</t>
  </si>
  <si>
    <t>Prashant Solanki (R206)</t>
  </si>
  <si>
    <t>IPL25-P207</t>
  </si>
  <si>
    <t>Marcus Stoinis (R207)</t>
  </si>
  <si>
    <t>IPL25-P208</t>
  </si>
  <si>
    <t>Naman Dhir (R208)</t>
  </si>
  <si>
    <t>IPL25-P209</t>
  </si>
  <si>
    <t>Jos Buttler (R209)</t>
  </si>
  <si>
    <t>IPL25-P210</t>
  </si>
  <si>
    <t>Kuldeep Yadav (R210)</t>
  </si>
  <si>
    <t>IPL25-P211</t>
  </si>
  <si>
    <t>Ricky Bhui (R211)</t>
  </si>
  <si>
    <t>IPL25-P212</t>
  </si>
  <si>
    <t>Nuwan Thushara (R212)</t>
  </si>
  <si>
    <t>IPL25-P213</t>
  </si>
  <si>
    <t>Shahbaz Ahmed (R213)</t>
  </si>
  <si>
    <t>IPL25-P214</t>
  </si>
  <si>
    <t>Axar Patel (R214)</t>
  </si>
  <si>
    <t>IPL25-P215</t>
  </si>
  <si>
    <t>Mitchell Starc (R215)</t>
  </si>
  <si>
    <t>IPL25-P216</t>
  </si>
  <si>
    <t>Ravichandran Ashwin (R216)</t>
  </si>
  <si>
    <t>IPL25-P217</t>
  </si>
  <si>
    <t>Jaydev Unadkat (R217)</t>
  </si>
  <si>
    <t>IPL25-P218</t>
  </si>
  <si>
    <t>Devon Conway (R218)</t>
  </si>
  <si>
    <t>IPL25-P219</t>
  </si>
  <si>
    <t>Shai Hope (R219)</t>
  </si>
  <si>
    <t>IPL25-P220</t>
  </si>
  <si>
    <t>Quinton de Kock (R220)</t>
  </si>
  <si>
    <t>IPL25-P221</t>
  </si>
  <si>
    <t>Rilee Rossouw (R221)</t>
  </si>
  <si>
    <t>IPL25-P222</t>
  </si>
  <si>
    <t>Kyle Mayers (R222)</t>
  </si>
  <si>
    <t>IPL25-P223</t>
  </si>
  <si>
    <t>David Miller (R223)</t>
  </si>
  <si>
    <t>IPL25-P224</t>
  </si>
  <si>
    <t>Jos Buttler (R224)</t>
  </si>
  <si>
    <t>IPL25-P225</t>
  </si>
  <si>
    <t>Shivam Dube (R225)</t>
  </si>
  <si>
    <t>IPL25-P226</t>
  </si>
  <si>
    <t>Marcus Stoinis (R226)</t>
  </si>
  <si>
    <t>IPL25-P227</t>
  </si>
  <si>
    <t>Noor Ahmad (R227)</t>
  </si>
  <si>
    <t>IPL25-P228</t>
  </si>
  <si>
    <t>Shimron Hetmyer (R228)</t>
  </si>
  <si>
    <t>IPL25-P229</t>
  </si>
  <si>
    <t>Mitchell Starc (R229)</t>
  </si>
  <si>
    <t>IPL25-P230</t>
  </si>
  <si>
    <t>T Natarajan (R230)</t>
  </si>
  <si>
    <t>IPL25-P231</t>
  </si>
  <si>
    <t>Will Jacks (R231)</t>
  </si>
  <si>
    <t>IPL25-P232</t>
  </si>
  <si>
    <t>Devon Conway (R232)</t>
  </si>
  <si>
    <t>IPL25-P233</t>
  </si>
  <si>
    <t>Prashant Solanki (R233)</t>
  </si>
  <si>
    <t>IPL25-P234</t>
  </si>
  <si>
    <t>Joshua Little (R234)</t>
  </si>
  <si>
    <t>IPL25-P235</t>
  </si>
  <si>
    <t>Hardik Pandya (R235)</t>
  </si>
  <si>
    <t>IPL25-P236</t>
  </si>
  <si>
    <t>Wriddhiman Saha (R236)</t>
  </si>
  <si>
    <t>IPL25-P237</t>
  </si>
  <si>
    <t>Manish Pandey (R237)</t>
  </si>
  <si>
    <t>IPL25-P238</t>
  </si>
  <si>
    <t>Sanju Samson (R238)</t>
  </si>
  <si>
    <t>IPL25-P239</t>
  </si>
  <si>
    <t>Prashant Solanki (R239)</t>
  </si>
  <si>
    <t>IPL25-P240</t>
  </si>
  <si>
    <t>Khaleel Ahmed (R240)</t>
  </si>
  <si>
    <t>IPL25-P241</t>
  </si>
  <si>
    <t>Sunil Narine (R241)</t>
  </si>
  <si>
    <t>IPL25-P242</t>
  </si>
  <si>
    <t>Mitchell Santner (R242)</t>
  </si>
  <si>
    <t>IPL25-P243</t>
  </si>
  <si>
    <t>Naman Dhir (R243)</t>
  </si>
  <si>
    <t>IPL25-P244</t>
  </si>
  <si>
    <t>Azmatullah Omarzai (R244)</t>
  </si>
  <si>
    <t>IPL25-P245</t>
  </si>
  <si>
    <t>Karn Sharma (R245)</t>
  </si>
  <si>
    <t>IPL25-P246</t>
  </si>
  <si>
    <t>Varun Chakravarthy (R246)</t>
  </si>
  <si>
    <t>IPL25-P247</t>
  </si>
  <si>
    <t>Mohammed Siraj (R247)</t>
  </si>
  <si>
    <t>IPL25-P248</t>
  </si>
  <si>
    <t>Deepak Hooda (R248)</t>
  </si>
  <si>
    <t>IPL25-P249</t>
  </si>
  <si>
    <t>Prithvi Shaw (R249)</t>
  </si>
  <si>
    <t>IPL25-P250</t>
  </si>
  <si>
    <t>Mohammed Shami (R250)</t>
  </si>
  <si>
    <t>IPL25-P251</t>
  </si>
  <si>
    <t>Jake Fraser-McGurk (R251)</t>
  </si>
  <si>
    <t>IPL25-P252</t>
  </si>
  <si>
    <t>Shreyas Iyer (R252)</t>
  </si>
  <si>
    <t>IPL25-P253</t>
  </si>
  <si>
    <t>Manish Pandey (R253)</t>
  </si>
  <si>
    <t>IPL25-P254</t>
  </si>
  <si>
    <t>Rilee Rossouw (R254)</t>
  </si>
  <si>
    <t>IPL25-P255</t>
  </si>
  <si>
    <t>Aiden Markram (R255)</t>
  </si>
  <si>
    <t>IPL25-P256</t>
  </si>
  <si>
    <t>Adam Zampa (R256)</t>
  </si>
  <si>
    <t>IPL25-P257</t>
  </si>
  <si>
    <t>Bhuvneshwar Kumar (R257)</t>
  </si>
  <si>
    <t>IPL25-P258</t>
  </si>
  <si>
    <t>Venkatesh Iyer (R258)</t>
  </si>
  <si>
    <t>IPL25-P259</t>
  </si>
  <si>
    <t>Wanindu Hasaranga (R259)</t>
  </si>
  <si>
    <t>IPL25-P260</t>
  </si>
  <si>
    <t>Atharva Taide (R260)</t>
  </si>
  <si>
    <t>IPL25-P261</t>
  </si>
  <si>
    <t>Sanju Samson (R261)</t>
  </si>
  <si>
    <t>IPL25-P262</t>
  </si>
  <si>
    <t>Angkrish Raghuvanshi (R262)</t>
  </si>
  <si>
    <t>IPL25-P263</t>
  </si>
  <si>
    <t>Rachin Ravindra (R263)</t>
  </si>
  <si>
    <t>IPL25-P264</t>
  </si>
  <si>
    <t>Kyle Mayers (R264)</t>
  </si>
  <si>
    <t>IPL25-P265</t>
  </si>
  <si>
    <t>Mohammed Shami (R265)</t>
  </si>
  <si>
    <t>IPL25-P266</t>
  </si>
  <si>
    <t>Faf du Plessis (R266)</t>
  </si>
  <si>
    <t>IPL25-P267</t>
  </si>
  <si>
    <t>Riyan Parag (R267)</t>
  </si>
  <si>
    <t>IPL25-P268</t>
  </si>
  <si>
    <t>Marcus Stoinis (R268)</t>
  </si>
  <si>
    <t>IPL25-P269</t>
  </si>
  <si>
    <t>Phil Salt (R269)</t>
  </si>
  <si>
    <t>IPL25-P270</t>
  </si>
  <si>
    <t>Jake Fraser-McGurk (R270)</t>
  </si>
  <si>
    <t>IPL25-P271</t>
  </si>
  <si>
    <t>Bhuvneshwar Kumar (R271)</t>
  </si>
  <si>
    <t>IPL25-P272</t>
  </si>
  <si>
    <t>Wriddhiman Saha (R272)</t>
  </si>
  <si>
    <t>IPL25-P273</t>
  </si>
  <si>
    <t>Varun Chakravarthy (R273)</t>
  </si>
  <si>
    <t>IPL25-P274</t>
  </si>
  <si>
    <t>Rohit Sharma (R274)</t>
  </si>
  <si>
    <t>IPL25-P275</t>
  </si>
  <si>
    <t>Prashant Solanki (R275)</t>
  </si>
  <si>
    <t>IPL25-P276</t>
  </si>
  <si>
    <t>Heinrich Klaasen (R276)</t>
  </si>
  <si>
    <t>IPL25-P277</t>
  </si>
  <si>
    <t>Rashid Khan (R277)</t>
  </si>
  <si>
    <t>IPL25-P278</t>
  </si>
  <si>
    <t>Harpreet Brar (R278)</t>
  </si>
  <si>
    <t>IPL25-P279</t>
  </si>
  <si>
    <t>Virat Kohli (R279)</t>
  </si>
  <si>
    <t>IPL25-P280</t>
  </si>
  <si>
    <t>Avesh Khan (R280)</t>
  </si>
  <si>
    <t>IPL25-P281</t>
  </si>
  <si>
    <t>Ricky Bhui (R281)</t>
  </si>
  <si>
    <t>IPL25-P282</t>
  </si>
  <si>
    <t>Nuwan Thushara (R282)</t>
  </si>
  <si>
    <t>IPL25-P283</t>
  </si>
  <si>
    <t>Akash Madhwal (R283)</t>
  </si>
  <si>
    <t>IPL25-P284</t>
  </si>
  <si>
    <t>Mitchell Starc (R284)</t>
  </si>
  <si>
    <t>IPL25-P285</t>
  </si>
  <si>
    <t>Shashank Singh (R285)</t>
  </si>
  <si>
    <t>IPL25-P286</t>
  </si>
  <si>
    <t>Jonny Bairstow (R286)</t>
  </si>
  <si>
    <t>IPL25-P287</t>
  </si>
  <si>
    <t>Darshan Nalkande (R287)</t>
  </si>
  <si>
    <t>IPL25-P288</t>
  </si>
  <si>
    <t>Harpreet Brar (R288)</t>
  </si>
  <si>
    <t>IPL25-P289</t>
  </si>
  <si>
    <t>Rachin Ravindra (R289)</t>
  </si>
  <si>
    <t>IPL25-P290</t>
  </si>
  <si>
    <t>MS Dhoni (R290)</t>
  </si>
  <si>
    <t>IPL25-P291</t>
  </si>
  <si>
    <t>Sai Kishore (R291)</t>
  </si>
  <si>
    <t>IPL25-P292</t>
  </si>
  <si>
    <t>Shashank Singh (R292)</t>
  </si>
  <si>
    <t>IPL25-P293</t>
  </si>
  <si>
    <t>Rilee Rossouw (R293)</t>
  </si>
  <si>
    <t>IPL25-P294</t>
  </si>
  <si>
    <t>Cameron Green (R294)</t>
  </si>
  <si>
    <t>IPL25-P295</t>
  </si>
  <si>
    <t>Bhuvneshwar Kumar (R295)</t>
  </si>
  <si>
    <t>IPL25-P296</t>
  </si>
  <si>
    <t>Shivam Dube (R296)</t>
  </si>
  <si>
    <t>IPL25-P297</t>
  </si>
  <si>
    <t>Jasprit Bumrah (R297)</t>
  </si>
  <si>
    <t>IPL25-P298</t>
  </si>
  <si>
    <t>Vishnu Vinod (R298)</t>
  </si>
  <si>
    <t>IPL25-P299</t>
  </si>
  <si>
    <t>Jos Buttler (R299)</t>
  </si>
  <si>
    <t>IPL25-P300</t>
  </si>
  <si>
    <t>Harshit Rana (R300)</t>
  </si>
  <si>
    <t>IPL25-P301</t>
  </si>
  <si>
    <t>Sanju Samson (R301)</t>
  </si>
  <si>
    <t>IPL25-P302</t>
  </si>
  <si>
    <t>Hardik Pandya (R302)</t>
  </si>
  <si>
    <t>IPL25-P303</t>
  </si>
  <si>
    <t>KL Rahul (R303)</t>
  </si>
  <si>
    <t>IPL25-P304</t>
  </si>
  <si>
    <t>Glenn Phillips (R304)</t>
  </si>
  <si>
    <t>IPL25-P305</t>
  </si>
  <si>
    <t>Naman Dhir (R305)</t>
  </si>
  <si>
    <t>IPL25-P306</t>
  </si>
  <si>
    <t>Phil Salt (R306)</t>
  </si>
  <si>
    <t>IPL25-P307</t>
  </si>
  <si>
    <t>Suryakumar Yadav (R307)</t>
  </si>
  <si>
    <t>IPL25-P308</t>
  </si>
  <si>
    <t>Krunal Pandya (R308)</t>
  </si>
  <si>
    <t>IPL25-P309</t>
  </si>
  <si>
    <t>Riyan Parag (R309)</t>
  </si>
  <si>
    <t>IPL25-P310</t>
  </si>
  <si>
    <t>Matheesha Pathirana (R310)</t>
  </si>
  <si>
    <t>IPL25-P311</t>
  </si>
  <si>
    <t>Ayush Badoni (R311)</t>
  </si>
  <si>
    <t>IPL25-P312</t>
  </si>
  <si>
    <t>Shubman Gill (R312)</t>
  </si>
  <si>
    <t>IPL25-P313</t>
  </si>
  <si>
    <t>Sunil Narine (R313)</t>
  </si>
  <si>
    <t>IPL25-P314</t>
  </si>
  <si>
    <t>Reece Topley (R314)</t>
  </si>
  <si>
    <t>IPL25-P315</t>
  </si>
  <si>
    <t>Prabhsimran Singh (R315)</t>
  </si>
  <si>
    <t>IPL25-P316</t>
  </si>
  <si>
    <t>Pat Cummins (R316)</t>
  </si>
  <si>
    <t>IPL25-P317</t>
  </si>
  <si>
    <t>Kane Williamson (R317)</t>
  </si>
  <si>
    <t>IPL25-P318</t>
  </si>
  <si>
    <t>Ricky Bhui (R318)</t>
  </si>
  <si>
    <t>IPL25-P319</t>
  </si>
  <si>
    <t>Deepak Chahar (R319)</t>
  </si>
  <si>
    <t>IPL25-P320</t>
  </si>
  <si>
    <t>Shikhar Dhawan (R320)</t>
  </si>
  <si>
    <t>IPL25-P321</t>
  </si>
  <si>
    <t>Sai Kishore (R321)</t>
  </si>
  <si>
    <t>IPL25-P322</t>
  </si>
  <si>
    <t>Dinesh Karthik (R322)</t>
  </si>
  <si>
    <t>IPL25-P323</t>
  </si>
  <si>
    <t>Sikandar Raza (R323)</t>
  </si>
  <si>
    <t>IPL25-P324</t>
  </si>
  <si>
    <t>Ravichandran Ashwin (R324)</t>
  </si>
  <si>
    <t>IPL25-P325</t>
  </si>
  <si>
    <t>Prerak Mankad (R325)</t>
  </si>
  <si>
    <t>IPL25-P326</t>
  </si>
  <si>
    <t>Yashasvi Jaiswal (R326)</t>
  </si>
  <si>
    <t>IPL25-P327</t>
  </si>
  <si>
    <t>Shai Hope (R327)</t>
  </si>
  <si>
    <t>IPL25-P328</t>
  </si>
  <si>
    <t>Shreyas Iyer (R328)</t>
  </si>
  <si>
    <t>IPL25-P329</t>
  </si>
  <si>
    <t>Mitchell Starc (R329)</t>
  </si>
  <si>
    <t>IPL25-P330</t>
  </si>
  <si>
    <t>Moeen Ali (R330)</t>
  </si>
  <si>
    <t>IPL25-P331</t>
  </si>
  <si>
    <t>Pat Cummins (R331)</t>
  </si>
  <si>
    <t>IPL25-P332</t>
  </si>
  <si>
    <t>Shardul Thakur (R332)</t>
  </si>
  <si>
    <t>IPL25-P333</t>
  </si>
  <si>
    <t>Manish Pandey (R333)</t>
  </si>
  <si>
    <t>IPL25-P334</t>
  </si>
  <si>
    <t>Ayush Badoni (R334)</t>
  </si>
  <si>
    <t>IPL25-P335</t>
  </si>
  <si>
    <t>Amit Mishra (R335)</t>
  </si>
  <si>
    <t>IPL25-P336</t>
  </si>
  <si>
    <t>Moeen Ali (R336)</t>
  </si>
  <si>
    <t>IPL25-P337</t>
  </si>
  <si>
    <t>Akash Madhwal (R337)</t>
  </si>
  <si>
    <t>IPL25-P338</t>
  </si>
  <si>
    <t>Azmatullah Omarzai (R338)</t>
  </si>
  <si>
    <t>IPL25-P339</t>
  </si>
  <si>
    <t>Avesh Khan (R339)</t>
  </si>
  <si>
    <t>IPL25-P340</t>
  </si>
  <si>
    <t>Mohsin Khan (R340)</t>
  </si>
  <si>
    <t>IPL25-P341</t>
  </si>
  <si>
    <t>Ishant Sharma (R341)</t>
  </si>
  <si>
    <t>IPL25-P342</t>
  </si>
  <si>
    <t>T Natarajan (R342)</t>
  </si>
  <si>
    <t>IPL25-P343</t>
  </si>
  <si>
    <t>Bhuvneshwar Kumar (R343)</t>
  </si>
  <si>
    <t>IPL25-P344</t>
  </si>
  <si>
    <t>Shubman Gill (R344)</t>
  </si>
  <si>
    <t>IPL25-P345</t>
  </si>
  <si>
    <t>Rohit Sharma (R345)</t>
  </si>
  <si>
    <t>IPL25-P346</t>
  </si>
  <si>
    <t>Nicholas Pooran (R346)</t>
  </si>
  <si>
    <t>IPL25-P347</t>
  </si>
  <si>
    <t>Will Jacks (R347)</t>
  </si>
  <si>
    <t>IPL25-P348</t>
  </si>
  <si>
    <t>Virat Kohli (R348)</t>
  </si>
  <si>
    <t>IPL25-P349</t>
  </si>
  <si>
    <t>Jonny Bairstow (R349)</t>
  </si>
  <si>
    <t>IPL25-P350</t>
  </si>
  <si>
    <t>Jonny Bairstow (R350)</t>
  </si>
  <si>
    <t>IPL25-P351</t>
  </si>
  <si>
    <t>Deepak Hooda (R351)</t>
  </si>
  <si>
    <t>IPL25-P352</t>
  </si>
  <si>
    <t>Sikandar Raza (R352)</t>
  </si>
  <si>
    <t>IPL25-P353</t>
  </si>
  <si>
    <t>Jhye Richardson (R353)</t>
  </si>
  <si>
    <t>IPL25-P354</t>
  </si>
  <si>
    <t>Rachin Ravindra (R354)</t>
  </si>
  <si>
    <t>IPL25-P355</t>
  </si>
  <si>
    <t>Anrich Nortje (R355)</t>
  </si>
  <si>
    <t>IPL25-P356</t>
  </si>
  <si>
    <t>Noor Ahmad (R356)</t>
  </si>
  <si>
    <t>IPL25-P357</t>
  </si>
  <si>
    <t>Noor Ahmad (R357)</t>
  </si>
  <si>
    <t>IPL25-P358</t>
  </si>
  <si>
    <t>Noor Ahmad (R358)</t>
  </si>
  <si>
    <t>IPL25-P359</t>
  </si>
  <si>
    <t>Suyash Prabhudessai (R359)</t>
  </si>
  <si>
    <t>IPL25-P360</t>
  </si>
  <si>
    <t>Kuldeep Yadav (R360)</t>
  </si>
  <si>
    <t>IPL25-P361</t>
  </si>
  <si>
    <t>Shahbaz Ahmed (R361)</t>
  </si>
  <si>
    <t>IPL25-P362</t>
  </si>
  <si>
    <t>Akash Madhwal (R362)</t>
  </si>
  <si>
    <t>IPL25-P363</t>
  </si>
  <si>
    <t>Mitchell Starc (R363)</t>
  </si>
  <si>
    <t>IPL25-P364</t>
  </si>
  <si>
    <t>Sikandar Raza (R364)</t>
  </si>
  <si>
    <t>IPL25-P365</t>
  </si>
  <si>
    <t>Jhye Richardson (R365)</t>
  </si>
  <si>
    <t>IPL25-P366</t>
  </si>
  <si>
    <t>Kagiso Rabada (R366)</t>
  </si>
  <si>
    <t>IPL25-P367</t>
  </si>
  <si>
    <t>Ravichandran Ashwin (R367)</t>
  </si>
  <si>
    <t>IPL25-P368</t>
  </si>
  <si>
    <t>Kuldeep Sen (R368)</t>
  </si>
  <si>
    <t>IPL25-P369</t>
  </si>
  <si>
    <t>Rajan Kumar (R369)</t>
  </si>
  <si>
    <t>IPL25-P370</t>
  </si>
  <si>
    <t>Rajat Patidar (R370)</t>
  </si>
  <si>
    <t>IPL25-P371</t>
  </si>
  <si>
    <t>Wriddhiman Saha (R371)</t>
  </si>
  <si>
    <t>IPL25-P372</t>
  </si>
  <si>
    <t>Glenn Maxwell (R372)</t>
  </si>
  <si>
    <t>IPL25-P373</t>
  </si>
  <si>
    <t>Ravi Bishnoi (R373)</t>
  </si>
  <si>
    <t>IPL25-P374</t>
  </si>
  <si>
    <t>Kane Williamson (R374)</t>
  </si>
  <si>
    <t>IPL25-P375</t>
  </si>
  <si>
    <t>Mohammed Siraj (R375)</t>
  </si>
  <si>
    <t>IPL25-P376</t>
  </si>
  <si>
    <t>Nathan Ellis (R376)</t>
  </si>
  <si>
    <t>IPL25-P377</t>
  </si>
  <si>
    <t>Mitchell Starc (R377)</t>
  </si>
  <si>
    <t>IPL25-P378</t>
  </si>
  <si>
    <t>Krunal Pandya (R378)</t>
  </si>
  <si>
    <t>IPL25-P379</t>
  </si>
  <si>
    <t>Shardul Thakur (R379)</t>
  </si>
  <si>
    <t>IPL25-P380</t>
  </si>
  <si>
    <t>Devdutt Padikkal (R380)</t>
  </si>
  <si>
    <t>IPL25-P381</t>
  </si>
  <si>
    <t>Pat Cummins (R381)</t>
  </si>
  <si>
    <t>IPL25-P382</t>
  </si>
  <si>
    <t>Tristan Stubbs (R382)</t>
  </si>
  <si>
    <t>IPL25-P383</t>
  </si>
  <si>
    <t>Shikhar Dhawan (R383)</t>
  </si>
  <si>
    <t>IPL25-P384</t>
  </si>
  <si>
    <t>Shubman Gill (R384)</t>
  </si>
  <si>
    <t>IPL25-P385</t>
  </si>
  <si>
    <t>Atharva Taide (R385)</t>
  </si>
  <si>
    <t>IPL25-P386</t>
  </si>
  <si>
    <t>Pat Cummins (R386)</t>
  </si>
  <si>
    <t>IPL25-P387</t>
  </si>
  <si>
    <t>Arshdeep Singh (R387)</t>
  </si>
  <si>
    <t>IPL25-P388</t>
  </si>
  <si>
    <t>Akash Madhwal (R388)</t>
  </si>
  <si>
    <t>IPL25-P389</t>
  </si>
  <si>
    <t>Atharva Taide (R389)</t>
  </si>
  <si>
    <t>IPL25-P390</t>
  </si>
  <si>
    <t>Jhye Richardson (R390)</t>
  </si>
  <si>
    <t>IPL25-P391</t>
  </si>
  <si>
    <t>Moeen Ali (R391)</t>
  </si>
  <si>
    <t>IPL25-P392</t>
  </si>
  <si>
    <t>Rishabh Pant (R392)</t>
  </si>
  <si>
    <t>IPL25-P393</t>
  </si>
  <si>
    <t>Sai Kishore (R393)</t>
  </si>
  <si>
    <t>IPL25-P394</t>
  </si>
  <si>
    <t>Mohammed Shami (R394)</t>
  </si>
  <si>
    <t>IPL25-P395</t>
  </si>
  <si>
    <t>Shardul Thakur (R395)</t>
  </si>
  <si>
    <t>IPL25-P396</t>
  </si>
  <si>
    <t>Andre Russell (R396)</t>
  </si>
  <si>
    <t>IPL25-P397</t>
  </si>
  <si>
    <t>Alzarri Joseph (R397)</t>
  </si>
  <si>
    <t>IPL25-P398</t>
  </si>
  <si>
    <t>Romario Shepherd (R398)</t>
  </si>
  <si>
    <t>IPL25-P399</t>
  </si>
  <si>
    <t>T Natarajan (R399)</t>
  </si>
  <si>
    <t>IPL25-P400</t>
  </si>
  <si>
    <t>Matheesha Pathirana (R400)</t>
  </si>
  <si>
    <t>IPL25-P401</t>
  </si>
  <si>
    <t>Mohsin Khan (R401)</t>
  </si>
  <si>
    <t>IPL25-P402</t>
  </si>
  <si>
    <t>Rashid Khan (R402)</t>
  </si>
  <si>
    <t>IPL25-P403</t>
  </si>
  <si>
    <t>Nuwan Thushara (R403)</t>
  </si>
  <si>
    <t>IPL25-P404</t>
  </si>
  <si>
    <t>Alzarri Joseph (R404)</t>
  </si>
  <si>
    <t>IPL25-P405</t>
  </si>
  <si>
    <t>Rashid Khan (R405)</t>
  </si>
  <si>
    <t>IPL25-P406</t>
  </si>
  <si>
    <t>Spencer Johnson (R406)</t>
  </si>
  <si>
    <t>IPL25-P407</t>
  </si>
  <si>
    <t>Rashid Khan (R407)</t>
  </si>
  <si>
    <t>IPL25-P408</t>
  </si>
  <si>
    <t>Devon Conway (R408)</t>
  </si>
  <si>
    <t>IPL25-P409</t>
  </si>
  <si>
    <t>Yuzvendra Chahal (R409)</t>
  </si>
  <si>
    <t>IPL25-P410</t>
  </si>
  <si>
    <t>Ravichandran Ashwin (R410)</t>
  </si>
  <si>
    <t>IPL25-P411</t>
  </si>
  <si>
    <t>Bhuvneshwar Kumar (R411)</t>
  </si>
  <si>
    <t>IPL25-P412</t>
  </si>
  <si>
    <t>Nitish Reddy (R412)</t>
  </si>
  <si>
    <t>IPL25-P413</t>
  </si>
  <si>
    <t>Quinton de Kock (R413)</t>
  </si>
  <si>
    <t>IPL25-P414</t>
  </si>
  <si>
    <t>Devdutt Padikkal (R414)</t>
  </si>
  <si>
    <t>IPL25-P415</t>
  </si>
  <si>
    <t>B Sai Sudharsan (R415)</t>
  </si>
  <si>
    <t>IPL25-P416</t>
  </si>
  <si>
    <t>Amit Mishra (R416)</t>
  </si>
  <si>
    <t>IPL25-P417</t>
  </si>
  <si>
    <t>Shivam Dube (R417)</t>
  </si>
  <si>
    <t>IPL25-P418</t>
  </si>
  <si>
    <t>Mohammed Siraj (R418)</t>
  </si>
  <si>
    <t>IPL25-P419</t>
  </si>
  <si>
    <t>Will Jacks (R419)</t>
  </si>
  <si>
    <t>IPL25-P420</t>
  </si>
  <si>
    <t>Prashant Solanki (R420)</t>
  </si>
  <si>
    <t>IPL25-P421</t>
  </si>
  <si>
    <t>Sandeep Sharma (R421)</t>
  </si>
  <si>
    <t>IPL25-P422</t>
  </si>
  <si>
    <t>Shubman Gill (R422)</t>
  </si>
  <si>
    <t>IPL25-P423</t>
  </si>
  <si>
    <t>Darshan Nalkande (R423)</t>
  </si>
  <si>
    <t>IPL25-P424</t>
  </si>
  <si>
    <t>Varun Chakravarthy (R424)</t>
  </si>
  <si>
    <t>IPL25-P425</t>
  </si>
  <si>
    <t>Aiden Markram (R425)</t>
  </si>
  <si>
    <t>IPL25-P426</t>
  </si>
  <si>
    <t>Nathan Ellis (R426)</t>
  </si>
  <si>
    <t>IPL25-P427</t>
  </si>
  <si>
    <t>Shreyas Iyer (R427)</t>
  </si>
  <si>
    <t>IPL25-P428</t>
  </si>
  <si>
    <t>Sunil Narine (R428)</t>
  </si>
  <si>
    <t>IPL25-P429</t>
  </si>
  <si>
    <t>Karn Sharma (R429)</t>
  </si>
  <si>
    <t>IPL25-P430</t>
  </si>
  <si>
    <t>Prithvi Shaw (R430)</t>
  </si>
  <si>
    <t>IPL25-P431</t>
  </si>
  <si>
    <t>Rahmanullah Gurbaz (R431)</t>
  </si>
  <si>
    <t>IPL25-P432</t>
  </si>
  <si>
    <t>Rajat Patidar (R432)</t>
  </si>
  <si>
    <t>IPL25-P433</t>
  </si>
  <si>
    <t>Rovman Powell (R433)</t>
  </si>
  <si>
    <t>IPL25-P434</t>
  </si>
  <si>
    <t>Ravindra Jadeja (R434)</t>
  </si>
  <si>
    <t>IPL25-P435</t>
  </si>
  <si>
    <t>Naman Dhir (R435)</t>
  </si>
  <si>
    <t>IPL25-P436</t>
  </si>
  <si>
    <t>Vijay Shankar (R436)</t>
  </si>
  <si>
    <t>IPL25-P437</t>
  </si>
  <si>
    <t>Wanindu Hasaranga (R437)</t>
  </si>
  <si>
    <t>IPL25-P438</t>
  </si>
  <si>
    <t>Shashank Singh (R438)</t>
  </si>
  <si>
    <t>IPL25-P439</t>
  </si>
  <si>
    <t>Ravindra Jadeja (R439)</t>
  </si>
  <si>
    <t>IPL25-P440</t>
  </si>
  <si>
    <t>Alzarri Joseph (R440)</t>
  </si>
  <si>
    <t>IPL25-P441</t>
  </si>
  <si>
    <t>Tilak Varma (R441)</t>
  </si>
  <si>
    <t>IPL25-P442</t>
  </si>
  <si>
    <t>Mahipal Lomror (R442)</t>
  </si>
  <si>
    <t>IPL25-P443</t>
  </si>
  <si>
    <t>Andre Russell (R443)</t>
  </si>
  <si>
    <t>IPL25-P444</t>
  </si>
  <si>
    <t>Devdutt Padikkal (R444)</t>
  </si>
  <si>
    <t>IPL25-P445</t>
  </si>
  <si>
    <t>Avesh Khan (R445)</t>
  </si>
  <si>
    <t>IPL25-P446</t>
  </si>
  <si>
    <t>Darshan Nalkande (R446)</t>
  </si>
  <si>
    <t>IPL25-P447</t>
  </si>
  <si>
    <t>Devon Conway (R447)</t>
  </si>
  <si>
    <t>IPL25-P448</t>
  </si>
  <si>
    <t>Phil Salt (R448)</t>
  </si>
  <si>
    <t>IPL25-P449</t>
  </si>
  <si>
    <t>Rohit Sharma (R449)</t>
  </si>
  <si>
    <t>IPL25-P450</t>
  </si>
  <si>
    <t>Jitesh Sharma (R450)</t>
  </si>
  <si>
    <t>IPL25-P451</t>
  </si>
  <si>
    <t>Sam Curran (R451)</t>
  </si>
  <si>
    <t>IPL25-P452</t>
  </si>
  <si>
    <t>Avesh Khan (R452)</t>
  </si>
  <si>
    <t>IPL25-P453</t>
  </si>
  <si>
    <t>Akash Madhwal (R453)</t>
  </si>
  <si>
    <t>IPL25-P454</t>
  </si>
  <si>
    <t>Bhuvneshwar Kumar (R454)</t>
  </si>
  <si>
    <t>IPL25-P455</t>
  </si>
  <si>
    <t>Sandeep Sharma (R455)</t>
  </si>
  <si>
    <t>IPL25-P456</t>
  </si>
  <si>
    <t>Jitesh Sharma (R456)</t>
  </si>
  <si>
    <t>IPL25-P457</t>
  </si>
  <si>
    <t>Trent Boult (R457)</t>
  </si>
  <si>
    <t>IPL25-P458</t>
  </si>
  <si>
    <t>Glenn Phillips (R458)</t>
  </si>
  <si>
    <t>IPL25-P459</t>
  </si>
  <si>
    <t>Mohsin Khan (R459)</t>
  </si>
  <si>
    <t>IPL25-P460</t>
  </si>
  <si>
    <t>Tristan Stubbs (R460)</t>
  </si>
  <si>
    <t>IPL25-P461</t>
  </si>
  <si>
    <t>Nitish Rana (R461)</t>
  </si>
  <si>
    <t>IPL25-P462</t>
  </si>
  <si>
    <t>Nicholas Pooran (R462)</t>
  </si>
  <si>
    <t>IPL25-P463</t>
  </si>
  <si>
    <t>Ishant Sharma (R463)</t>
  </si>
  <si>
    <t>IPL25-P464</t>
  </si>
  <si>
    <t>MS Dhoni (R464)</t>
  </si>
  <si>
    <t>IPL25-P465</t>
  </si>
  <si>
    <t>Devon Conway (R465)</t>
  </si>
  <si>
    <t>IPL25-P466</t>
  </si>
  <si>
    <t>Naman Dhir (R466)</t>
  </si>
  <si>
    <t>IPL25-P467</t>
  </si>
  <si>
    <t>Varun Chakravarthy (R467)</t>
  </si>
  <si>
    <t>IPL25-P468</t>
  </si>
  <si>
    <t>Sai Kishore (R468)</t>
  </si>
  <si>
    <t>IPL25-P469</t>
  </si>
  <si>
    <t>Jhye Richardson (R469)</t>
  </si>
  <si>
    <t>IPL25-P470</t>
  </si>
  <si>
    <t>Ravindra Jadeja (R470)</t>
  </si>
  <si>
    <t>IPL25-P471</t>
  </si>
  <si>
    <t>Mark Wood (R471)</t>
  </si>
  <si>
    <t>IPL25-P472</t>
  </si>
  <si>
    <t>Hardik Pandya (R472)</t>
  </si>
  <si>
    <t>IPL25-P473</t>
  </si>
  <si>
    <t>Jasprit Bumrah (R473)</t>
  </si>
  <si>
    <t>IPL25-P474</t>
  </si>
  <si>
    <t>Ayush Badoni (R474)</t>
  </si>
  <si>
    <t>IPL25-P475</t>
  </si>
  <si>
    <t>David Warner (R475)</t>
  </si>
  <si>
    <t>IPL25-P476</t>
  </si>
  <si>
    <t>Riyan Parag (R476)</t>
  </si>
  <si>
    <t>IPL25-P477</t>
  </si>
  <si>
    <t>Karn Sharma (R477)</t>
  </si>
  <si>
    <t>IPL25-P478</t>
  </si>
  <si>
    <t>Mohsin Khan (R478)</t>
  </si>
  <si>
    <t>IPL25-P479</t>
  </si>
  <si>
    <t>Jaydev Unadkat (R479)</t>
  </si>
  <si>
    <t>IPL25-P480</t>
  </si>
  <si>
    <t>Abhinav Manohar (R480)</t>
  </si>
  <si>
    <t>IPL25-P481</t>
  </si>
  <si>
    <t>Joshua Little (R481)</t>
  </si>
  <si>
    <t>IPL25-P482</t>
  </si>
  <si>
    <t>Shardul Thakur (R482)</t>
  </si>
  <si>
    <t>IPL25-P483</t>
  </si>
  <si>
    <t>Faf du Plessis (R483)</t>
  </si>
  <si>
    <t>IPL25-P484</t>
  </si>
  <si>
    <t>Kuldeep Sen (R484)</t>
  </si>
  <si>
    <t>IPL25-P485</t>
  </si>
  <si>
    <t>Shahbaz Ahmed (R485)</t>
  </si>
  <si>
    <t>IPL25-P486</t>
  </si>
  <si>
    <t>Heinrich Klaasen (R486)</t>
  </si>
  <si>
    <t>IPL25-P487</t>
  </si>
  <si>
    <t>Mitchell Starc (R487)</t>
  </si>
  <si>
    <t>IPL25-P488</t>
  </si>
  <si>
    <t>Rovman Powell (R488)</t>
  </si>
  <si>
    <t>IPL25-P489</t>
  </si>
  <si>
    <t>Reece Topley (R489)</t>
  </si>
  <si>
    <t>IPL25-P490</t>
  </si>
  <si>
    <t>Ravindra Jadeja (R490)</t>
  </si>
  <si>
    <t>IPL25-P491</t>
  </si>
  <si>
    <t>Sikandar Raza (R491)</t>
  </si>
  <si>
    <t>IPL25-P492</t>
  </si>
  <si>
    <t>Shashank Singh (R492)</t>
  </si>
  <si>
    <t>IPL25-P493</t>
  </si>
  <si>
    <t>Suryakumar Yadav (R493)</t>
  </si>
  <si>
    <t>IPL25-P494</t>
  </si>
  <si>
    <t>Nuwan Thushara (R494)</t>
  </si>
  <si>
    <t>IPL25-P495</t>
  </si>
  <si>
    <t>Akash Deep (R495)</t>
  </si>
  <si>
    <t>IPL25-P496</t>
  </si>
  <si>
    <t>Mukesh Kumar (R496)</t>
  </si>
  <si>
    <t>IPL25-P497</t>
  </si>
  <si>
    <t>Ricky Bhui (R497)</t>
  </si>
  <si>
    <t>IPL25-P498</t>
  </si>
  <si>
    <t>Rishabh Pant (R498)</t>
  </si>
  <si>
    <t>IPL25-P499</t>
  </si>
  <si>
    <t>Prashant Solanki (R499)</t>
  </si>
  <si>
    <t>IPL25-P500</t>
  </si>
  <si>
    <t>Devon Conway (R500)</t>
  </si>
  <si>
    <t>Position</t>
  </si>
  <si>
    <t>Abbr</t>
  </si>
  <si>
    <t>Wins</t>
  </si>
  <si>
    <t>Losses</t>
  </si>
  <si>
    <t>Points</t>
  </si>
  <si>
    <t>NRR</t>
  </si>
  <si>
    <t>Playoffs_Qualified</t>
  </si>
  <si>
    <t>IPL_2025_Result</t>
  </si>
  <si>
    <t>All_Time_IPL_Titles</t>
  </si>
  <si>
    <t>Title_Years</t>
  </si>
  <si>
    <t>Runner-Up</t>
  </si>
  <si>
    <t>2010, 2011, 2018, 2021, 2023</t>
  </si>
  <si>
    <t>Top 4</t>
  </si>
  <si>
    <t>2012, 2014, 2024</t>
  </si>
  <si>
    <t>2022</t>
  </si>
  <si>
    <t>Eliminated</t>
  </si>
  <si>
    <t>🏆 CHAMPIONS</t>
  </si>
  <si>
    <t>2025</t>
  </si>
  <si>
    <t>2013, 2015, 2017, 2019, 2020</t>
  </si>
  <si>
    <t>2016</t>
  </si>
  <si>
    <t>2008</t>
  </si>
  <si>
    <t>Year</t>
  </si>
  <si>
    <t>Champion</t>
  </si>
  <si>
    <t>Deccan Chargers</t>
  </si>
  <si>
    <t>1. Which teams had the highest win percentage along with the highest net run rate in IPL 2025?</t>
  </si>
  <si>
    <t>Row Labels</t>
  </si>
  <si>
    <t>Grand Total</t>
  </si>
  <si>
    <t>Max of NRR</t>
  </si>
  <si>
    <t>Max of win_percentage</t>
  </si>
  <si>
    <t>Sum of Total_Runs</t>
  </si>
  <si>
    <t>Average of Strike_Rate</t>
  </si>
  <si>
    <t>Sum of Wickets_Taken</t>
  </si>
  <si>
    <t>Average of Economy_Rate</t>
  </si>
  <si>
    <t>Sum of Batting_Average</t>
  </si>
  <si>
    <t>Max of Total boundaries</t>
  </si>
  <si>
    <t xml:space="preserve">toss win match win </t>
  </si>
  <si>
    <t>Max of rr</t>
  </si>
  <si>
    <t>score2</t>
  </si>
  <si>
    <t>score1</t>
  </si>
  <si>
    <t>Q8.  Which teams showed the most consistent performance throughout the tournament based on match-by-match results?</t>
  </si>
  <si>
    <t>Count of Matches_Played</t>
  </si>
  <si>
    <t>Q6 Which teams performed best during Overs based on run rate comparison?</t>
  </si>
  <si>
    <t>Q10  How did team performance vary across different venues in terms of runs scored, wickets taken, and matches won?</t>
  </si>
  <si>
    <t>percentage</t>
  </si>
  <si>
    <t>Q5 How did winning the toss influence match results for different teams across the tournament?</t>
  </si>
  <si>
    <t xml:space="preserve">Toss win also match win </t>
  </si>
  <si>
    <t>performance</t>
  </si>
  <si>
    <t>git branch -M main</t>
  </si>
  <si>
    <t>3  Which bowlers took the most wickets with an economy rate lower than the overall average?</t>
  </si>
  <si>
    <t xml:space="preserve">2. Which batsmen scored the most runs while maintaining a strike rate above the tournament average? </t>
  </si>
  <si>
    <t>Q4.Which venues produced the highest average scores?</t>
  </si>
  <si>
    <t>score_1</t>
  </si>
  <si>
    <t>scores_2</t>
  </si>
  <si>
    <t>I</t>
  </si>
  <si>
    <t>P</t>
  </si>
  <si>
    <t>L</t>
  </si>
  <si>
    <t>O</t>
  </si>
  <si>
    <t>Q7 Which players contributed the highest of team runs for their respective teams?</t>
  </si>
  <si>
    <t>Q9. Which batsmen hit the highest number of boundaries while maintaining strong batting averages?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</si>
</sst>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sz val="9"/>
      <name val="Arial"/>
    </font>
    <font>
      <b/>
      <sz val="9"/>
      <color rgb="FF155724"/>
      <name val="Arial"/>
    </font>
    <font>
      <b/>
      <sz val="9"/>
      <color rgb="FF7B4F00"/>
      <name val="Arial"/>
    </font>
    <font>
      <b/>
      <sz val="9"/>
      <color rgb="FF9C0006"/>
      <name val="Arial"/>
    </font>
    <font>
      <b/>
      <sz val="10"/>
      <color rgb="FF7B4F00"/>
      <name val="Arial"/>
    </font>
    <font>
      <sz val="24"/>
      <color theme="1"/>
      <name val="Algerian"/>
      <family val="5"/>
    </font>
    <font>
      <sz val="20"/>
      <color theme="1"/>
      <name val="Algerian"/>
      <family val="5"/>
    </font>
    <font>
      <sz val="8"/>
      <color rgb="FFF0F6FC"/>
      <name val="Consolas"/>
      <family val="3"/>
    </font>
    <font>
      <sz val="16"/>
      <color theme="1"/>
      <name val="Algerian"/>
      <family val="5"/>
    </font>
    <font>
      <sz val="22"/>
      <color theme="1"/>
      <name val="Algerian"/>
      <family val="5"/>
    </font>
    <font>
      <sz val="26"/>
      <color theme="1"/>
      <name val="Algerian"/>
      <family val="5"/>
    </font>
    <font>
      <sz val="22"/>
      <color rgb="FFFF0000"/>
      <name val="Algerian"/>
      <family val="5"/>
    </font>
    <font>
      <b/>
      <sz val="28"/>
      <color rgb="FFFF0000"/>
      <name val="Algerian"/>
      <family val="5"/>
    </font>
    <font>
      <sz val="18"/>
      <color theme="1"/>
      <name val="Calibri"/>
      <family val="2"/>
      <scheme val="minor"/>
    </font>
    <font>
      <sz val="18"/>
      <color theme="1"/>
      <name val="Algerian"/>
      <family val="5"/>
    </font>
  </fonts>
  <fills count="15">
    <fill>
      <patternFill patternType="none"/>
    </fill>
    <fill>
      <patternFill patternType="gray125"/>
    </fill>
    <fill>
      <patternFill patternType="solid">
        <fgColor rgb="FF1A3A5C"/>
      </patternFill>
    </fill>
    <fill>
      <patternFill patternType="solid">
        <fgColor rgb="FFEBF5FB"/>
      </patternFill>
    </fill>
    <fill>
      <patternFill patternType="solid">
        <fgColor rgb="FFFFFFFF"/>
      </patternFill>
    </fill>
    <fill>
      <patternFill patternType="solid">
        <fgColor rgb="FFC6EFCE"/>
      </patternFill>
    </fill>
    <fill>
      <patternFill patternType="solid">
        <fgColor rgb="FFFFD700"/>
      </patternFill>
    </fill>
    <fill>
      <patternFill patternType="solid">
        <fgColor rgb="FF0B2265"/>
      </patternFill>
    </fill>
    <fill>
      <patternFill patternType="solid">
        <fgColor rgb="FFFFF3CD"/>
      </patternFill>
    </fill>
    <fill>
      <patternFill patternType="solid">
        <fgColor rgb="FFFFC7CE"/>
      </patternFill>
    </fill>
    <fill>
      <patternFill patternType="solid">
        <fgColor rgb="FF880000"/>
      </patternFill>
    </fill>
    <fill>
      <patternFill patternType="solid">
        <fgColor rgb="FFFDEBD0"/>
      </patternFill>
    </fill>
    <fill>
      <patternFill patternType="solid">
        <fgColor rgb="FF2C5F2E"/>
      </patternFill>
    </fill>
    <fill>
      <patternFill patternType="solid">
        <fgColor rgb="FFD5F5E3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1" fillId="10" borderId="1" xfId="0" applyFont="1" applyFill="1" applyBorder="1" applyAlignment="1">
      <alignment horizontal="center" vertical="center" wrapText="1"/>
    </xf>
    <xf numFmtId="0" fontId="2" fillId="11" borderId="1" xfId="0" applyFont="1" applyFill="1" applyBorder="1" applyAlignment="1">
      <alignment horizontal="center" vertical="center"/>
    </xf>
    <xf numFmtId="0" fontId="1" fillId="12" borderId="1" xfId="0" applyFont="1" applyFill="1" applyBorder="1" applyAlignment="1">
      <alignment horizontal="center" vertical="center" wrapText="1"/>
    </xf>
    <xf numFmtId="0" fontId="2" fillId="13" borderId="1" xfId="0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center" vertical="center"/>
    </xf>
    <xf numFmtId="0" fontId="7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8" fillId="0" borderId="0" xfId="0" applyFont="1" applyAlignment="1">
      <alignment horizontal="left" vertical="center"/>
    </xf>
    <xf numFmtId="0" fontId="0" fillId="0" borderId="0" xfId="0" applyAlignment="1">
      <alignment horizontal="left" indent="1"/>
    </xf>
    <xf numFmtId="0" fontId="1" fillId="2" borderId="2" xfId="0" applyFont="1" applyFill="1" applyBorder="1" applyAlignment="1">
      <alignment horizontal="center" vertical="center" wrapText="1"/>
    </xf>
    <xf numFmtId="9" fontId="0" fillId="0" borderId="0" xfId="0" applyNumberFormat="1"/>
    <xf numFmtId="1" fontId="2" fillId="3" borderId="1" xfId="0" applyNumberFormat="1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 wrapText="1"/>
    </xf>
    <xf numFmtId="1" fontId="0" fillId="0" borderId="0" xfId="0" applyNumberFormat="1"/>
    <xf numFmtId="9" fontId="0" fillId="0" borderId="0" xfId="0" pivotButton="1" applyNumberFormat="1"/>
    <xf numFmtId="0" fontId="0" fillId="14" borderId="0" xfId="0" applyFill="1"/>
    <xf numFmtId="0" fontId="9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0" fontId="15" fillId="0" borderId="0" xfId="0" applyFont="1" applyAlignment="1">
      <alignment horizontal="left"/>
    </xf>
    <xf numFmtId="0" fontId="15" fillId="0" borderId="0" xfId="0" applyFont="1"/>
    <xf numFmtId="0" fontId="12" fillId="0" borderId="0" xfId="0" applyFont="1" applyAlignment="1">
      <alignment vertical="center"/>
    </xf>
    <xf numFmtId="0" fontId="15" fillId="0" borderId="0" xfId="0" pivotButton="1" applyFont="1"/>
    <xf numFmtId="0" fontId="7" fillId="0" borderId="0" xfId="0" applyFont="1" applyAlignment="1">
      <alignment vertical="center"/>
    </xf>
    <xf numFmtId="0" fontId="0" fillId="0" borderId="0" xfId="0" applyNumberFormat="1"/>
    <xf numFmtId="0" fontId="16" fillId="0" borderId="0" xfId="0" applyFont="1"/>
    <xf numFmtId="0" fontId="8" fillId="0" borderId="0" xfId="0" applyFont="1" applyAlignment="1">
      <alignment vertical="center"/>
    </xf>
  </cellXfs>
  <cellStyles count="1">
    <cellStyle name="Normal" xfId="0" builtinId="0"/>
  </cellStyles>
  <dxfs count="9"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font>
        <sz val="18"/>
      </font>
    </dxf>
    <dxf>
      <numFmt numFmtId="13" formatCode="0%"/>
    </dxf>
    <dxf>
      <numFmt numFmtId="13" formatCode="0%"/>
    </dxf>
    <dxf>
      <numFmt numFmtId="13" formatCode="0%"/>
    </dxf>
  </dxfs>
  <tableStyles count="0" defaultTableStyle="TableStyleMedium9" defaultPivotStyle="PivotStyleLight16"/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pivotCacheDefinition" Target="pivotCache/pivotCacheDefinition2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pivotCacheDefinition" Target="pivotCache/pivotCacheDefinition3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project.xlsx]1!PivotTable1</c:name>
    <c:fmtId val="29"/>
  </c:pivotSource>
  <c:chart>
    <c:autoTitleDeleted val="0"/>
    <c:pivotFmts>
      <c:pivotFmt>
        <c:idx val="0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'1'!$K$4</c:f>
              <c:strCache>
                <c:ptCount val="1"/>
                <c:pt idx="0">
                  <c:v>Max of NRR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'1'!$J$5:$J$15</c:f>
              <c:strCache>
                <c:ptCount val="10"/>
                <c:pt idx="0">
                  <c:v>Lucknow Super Giants</c:v>
                </c:pt>
                <c:pt idx="1">
                  <c:v>Chennai Super Kings</c:v>
                </c:pt>
                <c:pt idx="2">
                  <c:v>Punjab Kings</c:v>
                </c:pt>
                <c:pt idx="3">
                  <c:v>Kolkata Knight Riders</c:v>
                </c:pt>
                <c:pt idx="4">
                  <c:v>Gujarat Titans</c:v>
                </c:pt>
                <c:pt idx="5">
                  <c:v>Sunrisers Hyderabad</c:v>
                </c:pt>
                <c:pt idx="6">
                  <c:v>Royal Challengers Bengaluru</c:v>
                </c:pt>
                <c:pt idx="7">
                  <c:v>Mumbai Indians</c:v>
                </c:pt>
                <c:pt idx="8">
                  <c:v>Rajasthan Royals</c:v>
                </c:pt>
                <c:pt idx="9">
                  <c:v>Delhi Capitals</c:v>
                </c:pt>
              </c:strCache>
            </c:strRef>
          </c:cat>
          <c:val>
            <c:numRef>
              <c:f>'1'!$K$5:$K$15</c:f>
              <c:numCache>
                <c:formatCode>General</c:formatCode>
                <c:ptCount val="10"/>
                <c:pt idx="0">
                  <c:v>-0.46400000000000002</c:v>
                </c:pt>
                <c:pt idx="1">
                  <c:v>4.9000000000000002E-2</c:v>
                </c:pt>
                <c:pt idx="2">
                  <c:v>0.629</c:v>
                </c:pt>
                <c:pt idx="3">
                  <c:v>0.153</c:v>
                </c:pt>
                <c:pt idx="4">
                  <c:v>0.76100000000000001</c:v>
                </c:pt>
                <c:pt idx="5">
                  <c:v>-8.6999999999999994E-2</c:v>
                </c:pt>
                <c:pt idx="6">
                  <c:v>-1.0999999999999999E-2</c:v>
                </c:pt>
                <c:pt idx="7">
                  <c:v>0.107</c:v>
                </c:pt>
                <c:pt idx="8">
                  <c:v>-0.157</c:v>
                </c:pt>
                <c:pt idx="9">
                  <c:v>0.70499999999999996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6A4-47BF-AAA2-D56E8C61362C}"/>
            </c:ext>
          </c:extLst>
        </c:ser>
        <c:ser>
          <c:idx val="1"/>
          <c:order val="1"/>
          <c:tx>
            <c:strRef>
              <c:f>'1'!$L$4</c:f>
              <c:strCache>
                <c:ptCount val="1"/>
                <c:pt idx="0">
                  <c:v>Max of win_percentage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cat>
            <c:strRef>
              <c:f>'1'!$J$5:$J$15</c:f>
              <c:strCache>
                <c:ptCount val="10"/>
                <c:pt idx="0">
                  <c:v>Lucknow Super Giants</c:v>
                </c:pt>
                <c:pt idx="1">
                  <c:v>Chennai Super Kings</c:v>
                </c:pt>
                <c:pt idx="2">
                  <c:v>Punjab Kings</c:v>
                </c:pt>
                <c:pt idx="3">
                  <c:v>Kolkata Knight Riders</c:v>
                </c:pt>
                <c:pt idx="4">
                  <c:v>Gujarat Titans</c:v>
                </c:pt>
                <c:pt idx="5">
                  <c:v>Sunrisers Hyderabad</c:v>
                </c:pt>
                <c:pt idx="6">
                  <c:v>Royal Challengers Bengaluru</c:v>
                </c:pt>
                <c:pt idx="7">
                  <c:v>Mumbai Indians</c:v>
                </c:pt>
                <c:pt idx="8">
                  <c:v>Rajasthan Royals</c:v>
                </c:pt>
                <c:pt idx="9">
                  <c:v>Delhi Capitals</c:v>
                </c:pt>
              </c:strCache>
            </c:strRef>
          </c:cat>
          <c:val>
            <c:numRef>
              <c:f>'1'!$L$5:$L$15</c:f>
              <c:numCache>
                <c:formatCode>0.00%</c:formatCode>
                <c:ptCount val="10"/>
                <c:pt idx="0">
                  <c:v>0.69230769230769229</c:v>
                </c:pt>
                <c:pt idx="1">
                  <c:v>0.6875</c:v>
                </c:pt>
                <c:pt idx="2">
                  <c:v>0.66666666666666663</c:v>
                </c:pt>
                <c:pt idx="3">
                  <c:v>0.5625</c:v>
                </c:pt>
                <c:pt idx="4">
                  <c:v>0.5</c:v>
                </c:pt>
                <c:pt idx="5">
                  <c:v>0.5</c:v>
                </c:pt>
                <c:pt idx="6">
                  <c:v>0.4375</c:v>
                </c:pt>
                <c:pt idx="7">
                  <c:v>0.4</c:v>
                </c:pt>
                <c:pt idx="8">
                  <c:v>0.33333333333333331</c:v>
                </c:pt>
                <c:pt idx="9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6A4-47BF-AAA2-D56E8C613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32727839"/>
        <c:axId val="2032728319"/>
      </c:barChart>
      <c:catAx>
        <c:axId val="203272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28319"/>
        <c:crosses val="autoZero"/>
        <c:auto val="1"/>
        <c:lblAlgn val="ctr"/>
        <c:lblOffset val="100"/>
        <c:noMultiLvlLbl val="0"/>
      </c:catAx>
      <c:valAx>
        <c:axId val="203272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2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project.xlsx]2!PivotTable3</c:name>
    <c:fmtId val="7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Sum of Total_Runs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'2'!$A$4:$A$18</c:f>
              <c:strCache>
                <c:ptCount val="14"/>
                <c:pt idx="0">
                  <c:v>Phil Salt (R448)</c:v>
                </c:pt>
                <c:pt idx="1">
                  <c:v>Kagiso Rabada</c:v>
                </c:pt>
                <c:pt idx="2">
                  <c:v>Varun Chakravarthy (R467)</c:v>
                </c:pt>
                <c:pt idx="3">
                  <c:v>Angkrish Raghuvanshi (R167)</c:v>
                </c:pt>
                <c:pt idx="4">
                  <c:v>Ricky Bhui</c:v>
                </c:pt>
                <c:pt idx="5">
                  <c:v>David Warner (R186)</c:v>
                </c:pt>
                <c:pt idx="6">
                  <c:v>Aiden Markram (R255)</c:v>
                </c:pt>
                <c:pt idx="7">
                  <c:v>Jonny Bairstow (R350)</c:v>
                </c:pt>
                <c:pt idx="8">
                  <c:v>Shreyas Iyer (R252)</c:v>
                </c:pt>
                <c:pt idx="9">
                  <c:v>Ishant Sharma (R463)</c:v>
                </c:pt>
                <c:pt idx="10">
                  <c:v>Mohammed Siraj (R375)</c:v>
                </c:pt>
                <c:pt idx="11">
                  <c:v>Mahipal Lomror</c:v>
                </c:pt>
                <c:pt idx="12">
                  <c:v>Heinrich Klaasen</c:v>
                </c:pt>
                <c:pt idx="13">
                  <c:v>Jaydev Unadkat (R217)</c:v>
                </c:pt>
              </c:strCache>
            </c:strRef>
          </c:cat>
          <c:val>
            <c:numRef>
              <c:f>'2'!$B$4:$B$18</c:f>
              <c:numCache>
                <c:formatCode>General</c:formatCode>
                <c:ptCount val="14"/>
                <c:pt idx="0">
                  <c:v>745</c:v>
                </c:pt>
                <c:pt idx="1">
                  <c:v>745</c:v>
                </c:pt>
                <c:pt idx="2">
                  <c:v>687</c:v>
                </c:pt>
                <c:pt idx="3">
                  <c:v>687</c:v>
                </c:pt>
                <c:pt idx="4">
                  <c:v>687</c:v>
                </c:pt>
                <c:pt idx="5">
                  <c:v>687</c:v>
                </c:pt>
                <c:pt idx="6">
                  <c:v>687</c:v>
                </c:pt>
                <c:pt idx="7">
                  <c:v>687</c:v>
                </c:pt>
                <c:pt idx="8">
                  <c:v>645</c:v>
                </c:pt>
                <c:pt idx="9">
                  <c:v>645</c:v>
                </c:pt>
                <c:pt idx="10">
                  <c:v>645</c:v>
                </c:pt>
                <c:pt idx="11">
                  <c:v>645</c:v>
                </c:pt>
                <c:pt idx="12">
                  <c:v>639</c:v>
                </c:pt>
                <c:pt idx="1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A95-4BA7-AFA4-9D17932EF753}"/>
            </c:ext>
          </c:extLst>
        </c:ser>
        <c:ser>
          <c:idx val="1"/>
          <c:order val="1"/>
          <c:tx>
            <c:strRef>
              <c:f>'2'!$C$3</c:f>
              <c:strCache>
                <c:ptCount val="1"/>
                <c:pt idx="0">
                  <c:v>Average of Strike_Rate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'2'!$A$4:$A$18</c:f>
              <c:strCache>
                <c:ptCount val="14"/>
                <c:pt idx="0">
                  <c:v>Phil Salt (R448)</c:v>
                </c:pt>
                <c:pt idx="1">
                  <c:v>Kagiso Rabada</c:v>
                </c:pt>
                <c:pt idx="2">
                  <c:v>Varun Chakravarthy (R467)</c:v>
                </c:pt>
                <c:pt idx="3">
                  <c:v>Angkrish Raghuvanshi (R167)</c:v>
                </c:pt>
                <c:pt idx="4">
                  <c:v>Ricky Bhui</c:v>
                </c:pt>
                <c:pt idx="5">
                  <c:v>David Warner (R186)</c:v>
                </c:pt>
                <c:pt idx="6">
                  <c:v>Aiden Markram (R255)</c:v>
                </c:pt>
                <c:pt idx="7">
                  <c:v>Jonny Bairstow (R350)</c:v>
                </c:pt>
                <c:pt idx="8">
                  <c:v>Shreyas Iyer (R252)</c:v>
                </c:pt>
                <c:pt idx="9">
                  <c:v>Ishant Sharma (R463)</c:v>
                </c:pt>
                <c:pt idx="10">
                  <c:v>Mohammed Siraj (R375)</c:v>
                </c:pt>
                <c:pt idx="11">
                  <c:v>Mahipal Lomror</c:v>
                </c:pt>
                <c:pt idx="12">
                  <c:v>Heinrich Klaasen</c:v>
                </c:pt>
                <c:pt idx="13">
                  <c:v>Jaydev Unadkat (R217)</c:v>
                </c:pt>
              </c:strCache>
            </c:strRef>
          </c:cat>
          <c:val>
            <c:numRef>
              <c:f>'2'!$C$4:$C$18</c:f>
              <c:numCache>
                <c:formatCode>General</c:formatCode>
                <c:ptCount val="14"/>
                <c:pt idx="0">
                  <c:v>147.74</c:v>
                </c:pt>
                <c:pt idx="1">
                  <c:v>147.74</c:v>
                </c:pt>
                <c:pt idx="2">
                  <c:v>167.89</c:v>
                </c:pt>
                <c:pt idx="3">
                  <c:v>167.89</c:v>
                </c:pt>
                <c:pt idx="4">
                  <c:v>167.89</c:v>
                </c:pt>
                <c:pt idx="5">
                  <c:v>167.89</c:v>
                </c:pt>
                <c:pt idx="6">
                  <c:v>167.89</c:v>
                </c:pt>
                <c:pt idx="7">
                  <c:v>167.89</c:v>
                </c:pt>
                <c:pt idx="8">
                  <c:v>147.24</c:v>
                </c:pt>
                <c:pt idx="9">
                  <c:v>147.24</c:v>
                </c:pt>
                <c:pt idx="10">
                  <c:v>147.24</c:v>
                </c:pt>
                <c:pt idx="11">
                  <c:v>147.24</c:v>
                </c:pt>
                <c:pt idx="12">
                  <c:v>140.6</c:v>
                </c:pt>
                <c:pt idx="13">
                  <c:v>140.6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A95-4BA7-AFA4-9D17932EF7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32768639"/>
        <c:axId val="2032761919"/>
      </c:barChart>
      <c:catAx>
        <c:axId val="203276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61919"/>
        <c:crosses val="autoZero"/>
        <c:auto val="1"/>
        <c:lblAlgn val="ctr"/>
        <c:lblOffset val="100"/>
        <c:noMultiLvlLbl val="0"/>
      </c:catAx>
      <c:valAx>
        <c:axId val="203276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537757328526717"/>
          <c:y val="0.43790781054328992"/>
          <c:w val="0.16257423394364859"/>
          <c:h val="0.3367309968606865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project.xlsx]3!PivotTable4</c:name>
    <c:fmtId val="1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'3'!$B$3</c:f>
              <c:strCache>
                <c:ptCount val="1"/>
                <c:pt idx="0">
                  <c:v>Sum of Wickets_Taken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'3'!$A$4:$A$15</c:f>
              <c:strCache>
                <c:ptCount val="11"/>
                <c:pt idx="0">
                  <c:v>Rajan Kumar</c:v>
                </c:pt>
                <c:pt idx="1">
                  <c:v>Abhinav Manohar (R480)</c:v>
                </c:pt>
                <c:pt idx="2">
                  <c:v>Sam Curran (R451)</c:v>
                </c:pt>
                <c:pt idx="3">
                  <c:v>Glenn Phillips</c:v>
                </c:pt>
                <c:pt idx="4">
                  <c:v>Mukesh Kumar (R496)</c:v>
                </c:pt>
                <c:pt idx="5">
                  <c:v>Harpreet Brar (R191)</c:v>
                </c:pt>
                <c:pt idx="6">
                  <c:v>Reece Topley (R314)</c:v>
                </c:pt>
                <c:pt idx="7">
                  <c:v>Jhye Richardson (R390)</c:v>
                </c:pt>
                <c:pt idx="8">
                  <c:v>Sanju Samson (R261)</c:v>
                </c:pt>
                <c:pt idx="9">
                  <c:v>Karn Sharma (R477)</c:v>
                </c:pt>
                <c:pt idx="10">
                  <c:v>Mohsin Khan (R196)</c:v>
                </c:pt>
              </c:strCache>
            </c:strRef>
          </c:cat>
          <c:val>
            <c:numRef>
              <c:f>'3'!$B$4:$B$15</c:f>
              <c:numCache>
                <c:formatCode>General</c:formatCode>
                <c:ptCount val="11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28-4F2F-A558-22B84FD39421}"/>
            </c:ext>
          </c:extLst>
        </c:ser>
        <c:ser>
          <c:idx val="1"/>
          <c:order val="1"/>
          <c:tx>
            <c:strRef>
              <c:f>'3'!$C$3</c:f>
              <c:strCache>
                <c:ptCount val="1"/>
                <c:pt idx="0">
                  <c:v>Average of Economy_Rate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'3'!$A$4:$A$15</c:f>
              <c:strCache>
                <c:ptCount val="11"/>
                <c:pt idx="0">
                  <c:v>Rajan Kumar</c:v>
                </c:pt>
                <c:pt idx="1">
                  <c:v>Abhinav Manohar (R480)</c:v>
                </c:pt>
                <c:pt idx="2">
                  <c:v>Sam Curran (R451)</c:v>
                </c:pt>
                <c:pt idx="3">
                  <c:v>Glenn Phillips</c:v>
                </c:pt>
                <c:pt idx="4">
                  <c:v>Mukesh Kumar (R496)</c:v>
                </c:pt>
                <c:pt idx="5">
                  <c:v>Harpreet Brar (R191)</c:v>
                </c:pt>
                <c:pt idx="6">
                  <c:v>Reece Topley (R314)</c:v>
                </c:pt>
                <c:pt idx="7">
                  <c:v>Jhye Richardson (R390)</c:v>
                </c:pt>
                <c:pt idx="8">
                  <c:v>Sanju Samson (R261)</c:v>
                </c:pt>
                <c:pt idx="9">
                  <c:v>Karn Sharma (R477)</c:v>
                </c:pt>
                <c:pt idx="10">
                  <c:v>Mohsin Khan (R196)</c:v>
                </c:pt>
              </c:strCache>
            </c:strRef>
          </c:cat>
          <c:val>
            <c:numRef>
              <c:f>'3'!$C$4:$C$15</c:f>
              <c:numCache>
                <c:formatCode>General</c:formatCode>
                <c:ptCount val="11"/>
                <c:pt idx="0">
                  <c:v>7.88</c:v>
                </c:pt>
                <c:pt idx="1">
                  <c:v>7.88</c:v>
                </c:pt>
                <c:pt idx="2">
                  <c:v>6.57</c:v>
                </c:pt>
                <c:pt idx="3">
                  <c:v>6.57</c:v>
                </c:pt>
                <c:pt idx="4">
                  <c:v>7.88</c:v>
                </c:pt>
                <c:pt idx="5">
                  <c:v>7.88</c:v>
                </c:pt>
                <c:pt idx="6">
                  <c:v>7.88</c:v>
                </c:pt>
                <c:pt idx="7">
                  <c:v>7.88</c:v>
                </c:pt>
                <c:pt idx="8">
                  <c:v>7.88</c:v>
                </c:pt>
                <c:pt idx="9">
                  <c:v>7.88</c:v>
                </c:pt>
                <c:pt idx="10">
                  <c:v>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28-4F2F-A558-22B84FD394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730688"/>
        <c:axId val="525714368"/>
      </c:barChart>
      <c:catAx>
        <c:axId val="52573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14368"/>
        <c:crosses val="autoZero"/>
        <c:auto val="1"/>
        <c:lblAlgn val="ctr"/>
        <c:lblOffset val="100"/>
        <c:noMultiLvlLbl val="0"/>
      </c:catAx>
      <c:valAx>
        <c:axId val="52571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3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026982759666596"/>
          <c:y val="0.44228972798854688"/>
          <c:w val="0.21432185191026776"/>
          <c:h val="0.3069318181818181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project.xlsx]4!PivotTable2</c:name>
    <c:fmtId val="1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'4'!$B$3</c:f>
              <c:strCache>
                <c:ptCount val="1"/>
                <c:pt idx="0">
                  <c:v>score_1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'4'!$A$4:$A$14</c:f>
              <c:strCache>
                <c:ptCount val="10"/>
                <c:pt idx="0">
                  <c:v>Arun Jaitley Stadium, Delhi</c:v>
                </c:pt>
                <c:pt idx="1">
                  <c:v>BRSABV Ekana Cricket Stadium, Lucknow</c:v>
                </c:pt>
                <c:pt idx="2">
                  <c:v>Eden Gardens, Kolkata</c:v>
                </c:pt>
                <c:pt idx="3">
                  <c:v>M. Chinnaswamy Stadium, Bengaluru</c:v>
                </c:pt>
                <c:pt idx="4">
                  <c:v>MA Chidambaram Stadium, Chennai</c:v>
                </c:pt>
                <c:pt idx="5">
                  <c:v>Mullanpur New Chandigarh Stadium, Chandigarh</c:v>
                </c:pt>
                <c:pt idx="6">
                  <c:v>Narendra Modi Stadium, Ahmedabad</c:v>
                </c:pt>
                <c:pt idx="7">
                  <c:v>Rajiv Gandhi Intl. Cricket Stadium, Hyderabad</c:v>
                </c:pt>
                <c:pt idx="8">
                  <c:v>Sawai Mansingh Stadium, Jaipur</c:v>
                </c:pt>
                <c:pt idx="9">
                  <c:v>Wankhede Stadium, Mumbai</c:v>
                </c:pt>
              </c:strCache>
            </c:strRef>
          </c:cat>
          <c:val>
            <c:numRef>
              <c:f>'4'!$B$4:$B$14</c:f>
              <c:numCache>
                <c:formatCode>0</c:formatCode>
                <c:ptCount val="10"/>
                <c:pt idx="0">
                  <c:v>166.17714285714283</c:v>
                </c:pt>
                <c:pt idx="1">
                  <c:v>182.27999999999997</c:v>
                </c:pt>
                <c:pt idx="2">
                  <c:v>184.78624999999997</c:v>
                </c:pt>
                <c:pt idx="3">
                  <c:v>176.65249999999997</c:v>
                </c:pt>
                <c:pt idx="4">
                  <c:v>186.48555555555552</c:v>
                </c:pt>
                <c:pt idx="5">
                  <c:v>184.86499999999998</c:v>
                </c:pt>
                <c:pt idx="6">
                  <c:v>180.57777777777775</c:v>
                </c:pt>
                <c:pt idx="7">
                  <c:v>188.22199999999998</c:v>
                </c:pt>
                <c:pt idx="8">
                  <c:v>194.60857142857139</c:v>
                </c:pt>
                <c:pt idx="9">
                  <c:v>177.94999999999996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CE-47E9-98AA-FAF62A034E45}"/>
            </c:ext>
          </c:extLst>
        </c:ser>
        <c:ser>
          <c:idx val="1"/>
          <c:order val="1"/>
          <c:tx>
            <c:strRef>
              <c:f>'4'!$C$3</c:f>
              <c:strCache>
                <c:ptCount val="1"/>
                <c:pt idx="0">
                  <c:v>scores_2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'4'!$A$4:$A$14</c:f>
              <c:strCache>
                <c:ptCount val="10"/>
                <c:pt idx="0">
                  <c:v>Arun Jaitley Stadium, Delhi</c:v>
                </c:pt>
                <c:pt idx="1">
                  <c:v>BRSABV Ekana Cricket Stadium, Lucknow</c:v>
                </c:pt>
                <c:pt idx="2">
                  <c:v>Eden Gardens, Kolkata</c:v>
                </c:pt>
                <c:pt idx="3">
                  <c:v>M. Chinnaswamy Stadium, Bengaluru</c:v>
                </c:pt>
                <c:pt idx="4">
                  <c:v>MA Chidambaram Stadium, Chennai</c:v>
                </c:pt>
                <c:pt idx="5">
                  <c:v>Mullanpur New Chandigarh Stadium, Chandigarh</c:v>
                </c:pt>
                <c:pt idx="6">
                  <c:v>Narendra Modi Stadium, Ahmedabad</c:v>
                </c:pt>
                <c:pt idx="7">
                  <c:v>Rajiv Gandhi Intl. Cricket Stadium, Hyderabad</c:v>
                </c:pt>
                <c:pt idx="8">
                  <c:v>Sawai Mansingh Stadium, Jaipur</c:v>
                </c:pt>
                <c:pt idx="9">
                  <c:v>Wankhede Stadium, Mumbai</c:v>
                </c:pt>
              </c:strCache>
            </c:strRef>
          </c:cat>
          <c:val>
            <c:numRef>
              <c:f>'4'!$C$4:$C$14</c:f>
              <c:numCache>
                <c:formatCode>General</c:formatCode>
                <c:ptCount val="10"/>
                <c:pt idx="0">
                  <c:v>159.57142857142858</c:v>
                </c:pt>
                <c:pt idx="1">
                  <c:v>190.75</c:v>
                </c:pt>
                <c:pt idx="2">
                  <c:v>188.125</c:v>
                </c:pt>
                <c:pt idx="3">
                  <c:v>156.625</c:v>
                </c:pt>
                <c:pt idx="4">
                  <c:v>157.22222222222223</c:v>
                </c:pt>
                <c:pt idx="5">
                  <c:v>183.83333333333334</c:v>
                </c:pt>
                <c:pt idx="6">
                  <c:v>167.22222222222223</c:v>
                </c:pt>
                <c:pt idx="7">
                  <c:v>173.6</c:v>
                </c:pt>
                <c:pt idx="8">
                  <c:v>152.14285714285714</c:v>
                </c:pt>
                <c:pt idx="9">
                  <c:v>179.63636363636363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CE-47E9-98AA-FAF62A034E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2032781599"/>
        <c:axId val="2032783039"/>
      </c:barChart>
      <c:catAx>
        <c:axId val="203278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83039"/>
        <c:crosses val="autoZero"/>
        <c:auto val="1"/>
        <c:lblAlgn val="ctr"/>
        <c:lblOffset val="100"/>
        <c:noMultiLvlLbl val="0"/>
      </c:catAx>
      <c:valAx>
        <c:axId val="203278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8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project.xlsx]5!PivotTable4</c:name>
    <c:fmtId val="1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'5'!$B$3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DAB-4DF6-9DF9-5AA3287A14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DAB-4DF6-9DF9-5AA3287A14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0DAB-4DF6-9DF9-5AA3287A14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7-0DAB-4DF6-9DF9-5AA3287A14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0DAB-4DF6-9DF9-5AA3287A14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0DAB-4DF6-9DF9-5AA3287A14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D-0DAB-4DF6-9DF9-5AA3287A14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F-0DAB-4DF6-9DF9-5AA3287A14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1-0DAB-4DF6-9DF9-5AA3287A14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3-0DAB-4DF6-9DF9-5AA3287A143F}"/>
              </c:ext>
            </c:extLst>
          </c:dPt>
          <c:cat>
            <c:strRef>
              <c:f>'5'!$A$4:$A$14</c:f>
              <c:strCache>
                <c:ptCount val="10"/>
                <c:pt idx="0">
                  <c:v>Punjab Kings</c:v>
                </c:pt>
                <c:pt idx="1">
                  <c:v>Gujarat Titans</c:v>
                </c:pt>
                <c:pt idx="2">
                  <c:v>Chennai Super Kings</c:v>
                </c:pt>
                <c:pt idx="3">
                  <c:v>Kolkata Knight Riders</c:v>
                </c:pt>
                <c:pt idx="4">
                  <c:v>Royal Challengers Bengaluru</c:v>
                </c:pt>
                <c:pt idx="5">
                  <c:v>Mumbai Indians</c:v>
                </c:pt>
                <c:pt idx="6">
                  <c:v>Lucknow Super Giants</c:v>
                </c:pt>
                <c:pt idx="7">
                  <c:v>Sunrisers Hyderabad</c:v>
                </c:pt>
                <c:pt idx="8">
                  <c:v>Rajasthan Royals</c:v>
                </c:pt>
                <c:pt idx="9">
                  <c:v>Delhi Capitals</c:v>
                </c:pt>
              </c:strCache>
            </c:strRef>
          </c:cat>
          <c:val>
            <c:numRef>
              <c:f>'5'!$B$4:$B$14</c:f>
              <c:numCache>
                <c:formatCode>0%</c:formatCode>
                <c:ptCount val="10"/>
                <c:pt idx="0">
                  <c:v>0.66666666666666663</c:v>
                </c:pt>
                <c:pt idx="1">
                  <c:v>0.58333333333333337</c:v>
                </c:pt>
                <c:pt idx="2">
                  <c:v>0.5714285714285714</c:v>
                </c:pt>
                <c:pt idx="3">
                  <c:v>0.55555555555555558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</c:v>
                </c:pt>
                <c:pt idx="8">
                  <c:v>0.2857142857142857</c:v>
                </c:pt>
                <c:pt idx="9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95A-4F8F-9ED0-9F2BC70C203D}"/>
            </c:ext>
          </c:extLst>
        </c:ser>
        <c:ser>
          <c:idx val="1"/>
          <c:order val="1"/>
          <c:tx>
            <c:strRef>
              <c:f>'5'!$C$3</c:f>
              <c:strCache>
                <c:ptCount val="1"/>
                <c:pt idx="0">
                  <c:v>Toss win also match win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5-0DAB-4DF6-9DF9-5AA3287A143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7-0DAB-4DF6-9DF9-5AA3287A143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9-0DAB-4DF6-9DF9-5AA3287A143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B-0DAB-4DF6-9DF9-5AA3287A143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D-0DAB-4DF6-9DF9-5AA3287A143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1F-0DAB-4DF6-9DF9-5AA3287A143F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1-0DAB-4DF6-9DF9-5AA3287A143F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3-0DAB-4DF6-9DF9-5AA3287A143F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5-0DAB-4DF6-9DF9-5AA3287A143F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27-0DAB-4DF6-9DF9-5AA3287A143F}"/>
              </c:ext>
            </c:extLst>
          </c:dPt>
          <c:cat>
            <c:strRef>
              <c:f>'5'!$A$4:$A$14</c:f>
              <c:strCache>
                <c:ptCount val="10"/>
                <c:pt idx="0">
                  <c:v>Punjab Kings</c:v>
                </c:pt>
                <c:pt idx="1">
                  <c:v>Gujarat Titans</c:v>
                </c:pt>
                <c:pt idx="2">
                  <c:v>Chennai Super Kings</c:v>
                </c:pt>
                <c:pt idx="3">
                  <c:v>Kolkata Knight Riders</c:v>
                </c:pt>
                <c:pt idx="4">
                  <c:v>Royal Challengers Bengaluru</c:v>
                </c:pt>
                <c:pt idx="5">
                  <c:v>Mumbai Indians</c:v>
                </c:pt>
                <c:pt idx="6">
                  <c:v>Lucknow Super Giants</c:v>
                </c:pt>
                <c:pt idx="7">
                  <c:v>Sunrisers Hyderabad</c:v>
                </c:pt>
                <c:pt idx="8">
                  <c:v>Rajasthan Royals</c:v>
                </c:pt>
                <c:pt idx="9">
                  <c:v>Delhi Capitals</c:v>
                </c:pt>
              </c:strCache>
            </c:strRef>
          </c:cat>
          <c:val>
            <c:numRef>
              <c:f>'5'!$C$4:$C$14</c:f>
              <c:numCache>
                <c:formatCode>General</c:formatCode>
                <c:ptCount val="10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95A-4F8F-9ED0-9F2BC70C20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project.xlsx]6!PivotTable5</c:name>
    <c:fmtId val="14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'6'!$B$3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'6'!$A$4:$A$14</c:f>
              <c:strCache>
                <c:ptCount val="10"/>
                <c:pt idx="0">
                  <c:v>GT</c:v>
                </c:pt>
                <c:pt idx="1">
                  <c:v>RCB</c:v>
                </c:pt>
                <c:pt idx="2">
                  <c:v>KKR</c:v>
                </c:pt>
                <c:pt idx="3">
                  <c:v>SRH</c:v>
                </c:pt>
                <c:pt idx="4">
                  <c:v>DC</c:v>
                </c:pt>
                <c:pt idx="5">
                  <c:v>LSG</c:v>
                </c:pt>
                <c:pt idx="6">
                  <c:v>CSK</c:v>
                </c:pt>
                <c:pt idx="7">
                  <c:v>MI</c:v>
                </c:pt>
                <c:pt idx="8">
                  <c:v>PBKS</c:v>
                </c:pt>
                <c:pt idx="9">
                  <c:v>RR</c:v>
                </c:pt>
              </c:strCache>
            </c:strRef>
          </c:cat>
          <c:val>
            <c:numRef>
              <c:f>'6'!$B$4:$B$14</c:f>
              <c:numCache>
                <c:formatCode>General</c:formatCode>
                <c:ptCount val="10"/>
                <c:pt idx="0">
                  <c:v>17.48225788841577</c:v>
                </c:pt>
                <c:pt idx="1">
                  <c:v>14.342076261847037</c:v>
                </c:pt>
                <c:pt idx="2">
                  <c:v>13.968051118210866</c:v>
                </c:pt>
                <c:pt idx="3">
                  <c:v>13.79351312819294</c:v>
                </c:pt>
                <c:pt idx="4">
                  <c:v>13.64074617480612</c:v>
                </c:pt>
                <c:pt idx="5">
                  <c:v>13.14441472947953</c:v>
                </c:pt>
                <c:pt idx="6">
                  <c:v>12.391304347826088</c:v>
                </c:pt>
                <c:pt idx="7">
                  <c:v>12.119706136560072</c:v>
                </c:pt>
                <c:pt idx="8">
                  <c:v>12.061933534743204</c:v>
                </c:pt>
                <c:pt idx="9">
                  <c:v>11.646086879275117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2BA-4765-889C-DB06DC499C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15104080"/>
        <c:axId val="315099280"/>
      </c:lineChart>
      <c:catAx>
        <c:axId val="31510408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99280"/>
        <c:crosses val="autoZero"/>
        <c:auto val="1"/>
        <c:lblAlgn val="ctr"/>
        <c:lblOffset val="100"/>
        <c:noMultiLvlLbl val="0"/>
      </c:catAx>
      <c:valAx>
        <c:axId val="31509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project.xlsx]7!PivotTable4</c:name>
    <c:fmtId val="2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'7'!$B$3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multiLvlStrRef>
              <c:f>'7'!$A$4:$A$28</c:f>
              <c:multiLvlStrCache>
                <c:ptCount val="14"/>
                <c:lvl>
                  <c:pt idx="0">
                    <c:v>Matheesha Pathirana (R310)</c:v>
                  </c:pt>
                  <c:pt idx="1">
                    <c:v>MS Dhoni (R464)</c:v>
                  </c:pt>
                  <c:pt idx="2">
                    <c:v>Rachin Ravindra (R263)</c:v>
                  </c:pt>
                  <c:pt idx="3">
                    <c:v>David Warner (R186)</c:v>
                  </c:pt>
                  <c:pt idx="4">
                    <c:v>Ricky Bhui</c:v>
                  </c:pt>
                  <c:pt idx="5">
                    <c:v>Sai Kishore (R468)</c:v>
                  </c:pt>
                  <c:pt idx="6">
                    <c:v>Phil Salt (R448)</c:v>
                  </c:pt>
                  <c:pt idx="7">
                    <c:v>Ayush Badoni (R474)</c:v>
                  </c:pt>
                  <c:pt idx="8">
                    <c:v>Suryakumar Yadav (R307)</c:v>
                  </c:pt>
                  <c:pt idx="9">
                    <c:v>Kagiso Rabada</c:v>
                  </c:pt>
                  <c:pt idx="10">
                    <c:v>Mahipal Lomror</c:v>
                  </c:pt>
                  <c:pt idx="11">
                    <c:v>Mohammed Siraj (R375)</c:v>
                  </c:pt>
                  <c:pt idx="12">
                    <c:v>Kuldeep Sen (R484)</c:v>
                  </c:pt>
                  <c:pt idx="13">
                    <c:v>Aiden Markram (R255)</c:v>
                  </c:pt>
                </c:lvl>
                <c:lvl>
                  <c:pt idx="0">
                    <c:v>CSK</c:v>
                  </c:pt>
                  <c:pt idx="3">
                    <c:v>DC</c:v>
                  </c:pt>
                  <c:pt idx="5">
                    <c:v>GT</c:v>
                  </c:pt>
                  <c:pt idx="6">
                    <c:v>KKR</c:v>
                  </c:pt>
                  <c:pt idx="7">
                    <c:v>LSG</c:v>
                  </c:pt>
                  <c:pt idx="8">
                    <c:v>MI</c:v>
                  </c:pt>
                  <c:pt idx="9">
                    <c:v>PBKS</c:v>
                  </c:pt>
                  <c:pt idx="10">
                    <c:v>RCB</c:v>
                  </c:pt>
                  <c:pt idx="12">
                    <c:v>RR</c:v>
                  </c:pt>
                  <c:pt idx="13">
                    <c:v>SRH</c:v>
                  </c:pt>
                </c:lvl>
              </c:multiLvlStrCache>
            </c:multiLvlStrRef>
          </c:cat>
          <c:val>
            <c:numRef>
              <c:f>'7'!$B$4:$B$28</c:f>
              <c:numCache>
                <c:formatCode>General</c:formatCode>
                <c:ptCount val="14"/>
                <c:pt idx="0">
                  <c:v>636</c:v>
                </c:pt>
                <c:pt idx="1">
                  <c:v>636</c:v>
                </c:pt>
                <c:pt idx="2">
                  <c:v>636</c:v>
                </c:pt>
                <c:pt idx="3">
                  <c:v>687</c:v>
                </c:pt>
                <c:pt idx="4">
                  <c:v>687</c:v>
                </c:pt>
                <c:pt idx="5">
                  <c:v>596</c:v>
                </c:pt>
                <c:pt idx="6">
                  <c:v>745</c:v>
                </c:pt>
                <c:pt idx="7">
                  <c:v>580</c:v>
                </c:pt>
                <c:pt idx="8">
                  <c:v>596</c:v>
                </c:pt>
                <c:pt idx="9">
                  <c:v>745</c:v>
                </c:pt>
                <c:pt idx="10">
                  <c:v>645</c:v>
                </c:pt>
                <c:pt idx="11">
                  <c:v>645</c:v>
                </c:pt>
                <c:pt idx="12">
                  <c:v>636</c:v>
                </c:pt>
                <c:pt idx="13">
                  <c:v>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FBD-4DCB-AA2B-FD24D39489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812362928"/>
        <c:axId val="812359568"/>
        <c:axId val="0"/>
      </c:bar3DChart>
      <c:catAx>
        <c:axId val="81236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359568"/>
        <c:crosses val="autoZero"/>
        <c:auto val="1"/>
        <c:lblAlgn val="ctr"/>
        <c:lblOffset val="100"/>
        <c:noMultiLvlLbl val="0"/>
      </c:catAx>
      <c:valAx>
        <c:axId val="81235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362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project.xlsx]8!PivotTable6</c:name>
    <c:fmtId val="9"/>
  </c:pivotSource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cked"/>
        <c:varyColors val="0"/>
        <c:ser>
          <c:idx val="0"/>
          <c:order val="0"/>
          <c:tx>
            <c:strRef>
              <c:f>'8'!$B$3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'8'!$A$4:$A$14</c:f>
              <c:strCache>
                <c:ptCount val="10"/>
                <c:pt idx="0">
                  <c:v>LSG</c:v>
                </c:pt>
                <c:pt idx="1">
                  <c:v>CSK</c:v>
                </c:pt>
                <c:pt idx="2">
                  <c:v>PBKS</c:v>
                </c:pt>
                <c:pt idx="3">
                  <c:v>KKR</c:v>
                </c:pt>
                <c:pt idx="4">
                  <c:v>GT</c:v>
                </c:pt>
                <c:pt idx="5">
                  <c:v>SRH</c:v>
                </c:pt>
                <c:pt idx="6">
                  <c:v>RCB</c:v>
                </c:pt>
                <c:pt idx="7">
                  <c:v>MI</c:v>
                </c:pt>
                <c:pt idx="8">
                  <c:v>RR</c:v>
                </c:pt>
                <c:pt idx="9">
                  <c:v>DC</c:v>
                </c:pt>
              </c:strCache>
            </c:strRef>
          </c:cat>
          <c:val>
            <c:numRef>
              <c:f>'8'!$B$4:$B$14</c:f>
              <c:numCache>
                <c:formatCode>General</c:formatCode>
                <c:ptCount val="10"/>
                <c:pt idx="0">
                  <c:v>0.69230769230769229</c:v>
                </c:pt>
                <c:pt idx="1">
                  <c:v>0.6875</c:v>
                </c:pt>
                <c:pt idx="2">
                  <c:v>0.66666666666666663</c:v>
                </c:pt>
                <c:pt idx="3">
                  <c:v>0.5625</c:v>
                </c:pt>
                <c:pt idx="4">
                  <c:v>0.5</c:v>
                </c:pt>
                <c:pt idx="5">
                  <c:v>0.5</c:v>
                </c:pt>
                <c:pt idx="6">
                  <c:v>0.4375</c:v>
                </c:pt>
                <c:pt idx="7">
                  <c:v>0.4</c:v>
                </c:pt>
                <c:pt idx="8">
                  <c:v>0.33333333333333331</c:v>
                </c:pt>
                <c:pt idx="9">
                  <c:v>0.21428571428571427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F23-4D9B-8E18-5FD01040F6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3855568"/>
        <c:axId val="724522800"/>
      </c:lineChart>
      <c:catAx>
        <c:axId val="7438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522800"/>
        <c:crosses val="autoZero"/>
        <c:auto val="1"/>
        <c:lblAlgn val="ctr"/>
        <c:lblOffset val="100"/>
        <c:noMultiLvlLbl val="0"/>
      </c:catAx>
      <c:valAx>
        <c:axId val="7245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5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project.xlsx]9!PivotTable1</c:name>
    <c:fmtId val="2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  <a:sp3d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'9'!$B$3</c:f>
              <c:strCache>
                <c:ptCount val="1"/>
                <c:pt idx="0">
                  <c:v>Sum of Batting_Average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cat>
            <c:strRef>
              <c:f>'9'!$A$4:$A$17</c:f>
              <c:strCache>
                <c:ptCount val="13"/>
                <c:pt idx="0">
                  <c:v>Mohammed Siraj (R375)</c:v>
                </c:pt>
                <c:pt idx="1">
                  <c:v>Ishant Sharma (R463)</c:v>
                </c:pt>
                <c:pt idx="2">
                  <c:v>Mahipal Lomror</c:v>
                </c:pt>
                <c:pt idx="3">
                  <c:v>Shreyas Iyer (R252)</c:v>
                </c:pt>
                <c:pt idx="4">
                  <c:v>Suryakumar Yadav (R307)</c:v>
                </c:pt>
                <c:pt idx="5">
                  <c:v>Varun Chakravarthy</c:v>
                </c:pt>
                <c:pt idx="6">
                  <c:v>Shardul Thakur (R379)</c:v>
                </c:pt>
                <c:pt idx="7">
                  <c:v>Sai Kishore (R468)</c:v>
                </c:pt>
                <c:pt idx="8">
                  <c:v>Ishant Sharma</c:v>
                </c:pt>
                <c:pt idx="9">
                  <c:v>Shubman Gill (R344)</c:v>
                </c:pt>
                <c:pt idx="10">
                  <c:v>Heinrich Klaasen (R195)</c:v>
                </c:pt>
                <c:pt idx="11">
                  <c:v>Quinton de Kock</c:v>
                </c:pt>
                <c:pt idx="12">
                  <c:v>Mark Wood</c:v>
                </c:pt>
              </c:strCache>
            </c:strRef>
          </c:cat>
          <c:val>
            <c:numRef>
              <c:f>'9'!$B$4:$B$17</c:f>
              <c:numCache>
                <c:formatCode>General</c:formatCode>
                <c:ptCount val="13"/>
                <c:pt idx="0">
                  <c:v>53.75</c:v>
                </c:pt>
                <c:pt idx="1">
                  <c:v>53.75</c:v>
                </c:pt>
                <c:pt idx="2">
                  <c:v>53.75</c:v>
                </c:pt>
                <c:pt idx="3">
                  <c:v>53.75</c:v>
                </c:pt>
                <c:pt idx="4">
                  <c:v>54.18</c:v>
                </c:pt>
                <c:pt idx="5">
                  <c:v>54.18</c:v>
                </c:pt>
                <c:pt idx="6">
                  <c:v>54.18</c:v>
                </c:pt>
                <c:pt idx="7">
                  <c:v>54.18</c:v>
                </c:pt>
                <c:pt idx="8">
                  <c:v>54.89</c:v>
                </c:pt>
                <c:pt idx="9">
                  <c:v>54.43</c:v>
                </c:pt>
                <c:pt idx="10">
                  <c:v>54.43</c:v>
                </c:pt>
                <c:pt idx="11">
                  <c:v>54.43</c:v>
                </c:pt>
                <c:pt idx="1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CB0-4D15-9883-1FB4921F3460}"/>
            </c:ext>
          </c:extLst>
        </c:ser>
        <c:ser>
          <c:idx val="1"/>
          <c:order val="1"/>
          <c:tx>
            <c:strRef>
              <c:f>'9'!$C$3</c:f>
              <c:strCache>
                <c:ptCount val="1"/>
                <c:pt idx="0">
                  <c:v>Max of Total boundaries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'9'!$A$4:$A$17</c:f>
              <c:strCache>
                <c:ptCount val="13"/>
                <c:pt idx="0">
                  <c:v>Mohammed Siraj (R375)</c:v>
                </c:pt>
                <c:pt idx="1">
                  <c:v>Ishant Sharma (R463)</c:v>
                </c:pt>
                <c:pt idx="2">
                  <c:v>Mahipal Lomror</c:v>
                </c:pt>
                <c:pt idx="3">
                  <c:v>Shreyas Iyer (R252)</c:v>
                </c:pt>
                <c:pt idx="4">
                  <c:v>Suryakumar Yadav (R307)</c:v>
                </c:pt>
                <c:pt idx="5">
                  <c:v>Varun Chakravarthy</c:v>
                </c:pt>
                <c:pt idx="6">
                  <c:v>Shardul Thakur (R379)</c:v>
                </c:pt>
                <c:pt idx="7">
                  <c:v>Sai Kishore (R468)</c:v>
                </c:pt>
                <c:pt idx="8">
                  <c:v>Ishant Sharma</c:v>
                </c:pt>
                <c:pt idx="9">
                  <c:v>Shubman Gill (R344)</c:v>
                </c:pt>
                <c:pt idx="10">
                  <c:v>Heinrich Klaasen (R195)</c:v>
                </c:pt>
                <c:pt idx="11">
                  <c:v>Quinton de Kock</c:v>
                </c:pt>
                <c:pt idx="12">
                  <c:v>Mark Wood</c:v>
                </c:pt>
              </c:strCache>
            </c:strRef>
          </c:cat>
          <c:val>
            <c:numRef>
              <c:f>'9'!$C$4:$C$17</c:f>
              <c:numCache>
                <c:formatCode>General</c:formatCode>
                <c:ptCount val="13"/>
                <c:pt idx="0">
                  <c:v>133</c:v>
                </c:pt>
                <c:pt idx="1">
                  <c:v>133</c:v>
                </c:pt>
                <c:pt idx="2">
                  <c:v>133</c:v>
                </c:pt>
                <c:pt idx="3">
                  <c:v>133</c:v>
                </c:pt>
                <c:pt idx="4">
                  <c:v>106</c:v>
                </c:pt>
                <c:pt idx="5">
                  <c:v>106</c:v>
                </c:pt>
                <c:pt idx="6">
                  <c:v>106</c:v>
                </c:pt>
                <c:pt idx="7">
                  <c:v>106</c:v>
                </c:pt>
                <c:pt idx="8">
                  <c:v>97</c:v>
                </c:pt>
                <c:pt idx="9">
                  <c:v>78</c:v>
                </c:pt>
                <c:pt idx="10">
                  <c:v>78</c:v>
                </c:pt>
                <c:pt idx="11">
                  <c:v>78</c:v>
                </c:pt>
                <c:pt idx="1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CB0-4D15-9883-1FB4921F34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25747008"/>
        <c:axId val="525747488"/>
        <c:axId val="0"/>
      </c:bar3DChart>
      <c:catAx>
        <c:axId val="52574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47488"/>
        <c:crosses val="autoZero"/>
        <c:auto val="1"/>
        <c:lblAlgn val="ctr"/>
        <c:lblOffset val="100"/>
        <c:noMultiLvlLbl val="0"/>
      </c:catAx>
      <c:valAx>
        <c:axId val="5257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4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project.xlsx]10!PivotTable4</c:name>
    <c:fmtId val="28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'10'!$B$3</c:f>
              <c:strCache>
                <c:ptCount val="1"/>
                <c:pt idx="0">
                  <c:v>Count of Matches_Played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'10'!$A$4:$A$14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Bengaluru</c:v>
                </c:pt>
                <c:pt idx="9">
                  <c:v>Sunrisers Hyderabad</c:v>
                </c:pt>
              </c:strCache>
            </c:strRef>
          </c:cat>
          <c:val>
            <c:numRef>
              <c:f>'10'!$B$4:$B$14</c:f>
              <c:numCache>
                <c:formatCode>General</c:formatCode>
                <c:ptCount val="10"/>
                <c:pt idx="0">
                  <c:v>56</c:v>
                </c:pt>
                <c:pt idx="1">
                  <c:v>49</c:v>
                </c:pt>
                <c:pt idx="2">
                  <c:v>58</c:v>
                </c:pt>
                <c:pt idx="3">
                  <c:v>53</c:v>
                </c:pt>
                <c:pt idx="4">
                  <c:v>49</c:v>
                </c:pt>
                <c:pt idx="5">
                  <c:v>47</c:v>
                </c:pt>
                <c:pt idx="6">
                  <c:v>50</c:v>
                </c:pt>
                <c:pt idx="7">
                  <c:v>47</c:v>
                </c:pt>
                <c:pt idx="8">
                  <c:v>45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30E-4B0B-9DFE-F5B40CDBEE0C}"/>
            </c:ext>
          </c:extLst>
        </c:ser>
        <c:ser>
          <c:idx val="1"/>
          <c:order val="1"/>
          <c:tx>
            <c:strRef>
              <c:f>'10'!$C$3</c:f>
              <c:strCache>
                <c:ptCount val="1"/>
                <c:pt idx="0">
                  <c:v>Sum of Total_Runs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'10'!$A$4:$A$14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Bengaluru</c:v>
                </c:pt>
                <c:pt idx="9">
                  <c:v>Sunrisers Hyderabad</c:v>
                </c:pt>
              </c:strCache>
            </c:strRef>
          </c:cat>
          <c:val>
            <c:numRef>
              <c:f>'10'!$C$4:$C$14</c:f>
              <c:numCache>
                <c:formatCode>General</c:formatCode>
                <c:ptCount val="10"/>
                <c:pt idx="0">
                  <c:v>13623</c:v>
                </c:pt>
                <c:pt idx="1">
                  <c:v>13016</c:v>
                </c:pt>
                <c:pt idx="2">
                  <c:v>16012</c:v>
                </c:pt>
                <c:pt idx="3">
                  <c:v>15302</c:v>
                </c:pt>
                <c:pt idx="4">
                  <c:v>12779</c:v>
                </c:pt>
                <c:pt idx="5">
                  <c:v>11218</c:v>
                </c:pt>
                <c:pt idx="6">
                  <c:v>12776</c:v>
                </c:pt>
                <c:pt idx="7">
                  <c:v>13110</c:v>
                </c:pt>
                <c:pt idx="8">
                  <c:v>13014</c:v>
                </c:pt>
                <c:pt idx="9">
                  <c:v>11610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30E-4B0B-9DFE-F5B40CDBEE0C}"/>
            </c:ext>
          </c:extLst>
        </c:ser>
        <c:ser>
          <c:idx val="2"/>
          <c:order val="2"/>
          <c:tx>
            <c:strRef>
              <c:f>'10'!$D$3</c:f>
              <c:strCache>
                <c:ptCount val="1"/>
                <c:pt idx="0">
                  <c:v>Sum of Wickets_Taken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'10'!$A$4:$A$14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Bengaluru</c:v>
                </c:pt>
                <c:pt idx="9">
                  <c:v>Sunrisers Hyderabad</c:v>
                </c:pt>
              </c:strCache>
            </c:strRef>
          </c:cat>
          <c:val>
            <c:numRef>
              <c:f>'10'!$D$4:$D$14</c:f>
              <c:numCache>
                <c:formatCode>General</c:formatCode>
                <c:ptCount val="10"/>
                <c:pt idx="0">
                  <c:v>321</c:v>
                </c:pt>
                <c:pt idx="1">
                  <c:v>406</c:v>
                </c:pt>
                <c:pt idx="2">
                  <c:v>367</c:v>
                </c:pt>
                <c:pt idx="3">
                  <c:v>317</c:v>
                </c:pt>
                <c:pt idx="4">
                  <c:v>374</c:v>
                </c:pt>
                <c:pt idx="5">
                  <c:v>356</c:v>
                </c:pt>
                <c:pt idx="6">
                  <c:v>366</c:v>
                </c:pt>
                <c:pt idx="7">
                  <c:v>377</c:v>
                </c:pt>
                <c:pt idx="8">
                  <c:v>356</c:v>
                </c:pt>
                <c:pt idx="9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30E-4B0B-9DFE-F5B40CDBEE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25700448"/>
        <c:axId val="525702848"/>
      </c:barChart>
      <c:catAx>
        <c:axId val="52570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2848"/>
        <c:crosses val="autoZero"/>
        <c:auto val="1"/>
        <c:lblAlgn val="ctr"/>
        <c:lblOffset val="100"/>
        <c:noMultiLvlLbl val="0"/>
      </c:catAx>
      <c:valAx>
        <c:axId val="5257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project.xlsx]1!PivotTable1</c:name>
    <c:fmtId val="3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Teams With Highest Win % And NRR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ctr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460009359295203"/>
          <c:y val="0.24735242582211853"/>
          <c:w val="0.72241042544100575"/>
          <c:h val="0.63064831577493252"/>
        </c:manualLayout>
      </c:layout>
      <c:barChart>
        <c:barDir val="col"/>
        <c:grouping val="percentStacked"/>
        <c:varyColors val="0"/>
        <c:ser>
          <c:idx val="0"/>
          <c:order val="0"/>
          <c:tx>
            <c:strRef>
              <c:f>'1'!$K$4</c:f>
              <c:strCache>
                <c:ptCount val="1"/>
                <c:pt idx="0">
                  <c:v>Max of NRR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'1'!$J$5:$J$15</c:f>
              <c:strCache>
                <c:ptCount val="10"/>
                <c:pt idx="0">
                  <c:v>Lucknow Super Giants</c:v>
                </c:pt>
                <c:pt idx="1">
                  <c:v>Chennai Super Kings</c:v>
                </c:pt>
                <c:pt idx="2">
                  <c:v>Punjab Kings</c:v>
                </c:pt>
                <c:pt idx="3">
                  <c:v>Kolkata Knight Riders</c:v>
                </c:pt>
                <c:pt idx="4">
                  <c:v>Gujarat Titans</c:v>
                </c:pt>
                <c:pt idx="5">
                  <c:v>Sunrisers Hyderabad</c:v>
                </c:pt>
                <c:pt idx="6">
                  <c:v>Royal Challengers Bengaluru</c:v>
                </c:pt>
                <c:pt idx="7">
                  <c:v>Mumbai Indians</c:v>
                </c:pt>
                <c:pt idx="8">
                  <c:v>Rajasthan Royals</c:v>
                </c:pt>
                <c:pt idx="9">
                  <c:v>Delhi Capitals</c:v>
                </c:pt>
              </c:strCache>
            </c:strRef>
          </c:cat>
          <c:val>
            <c:numRef>
              <c:f>'1'!$K$5:$K$15</c:f>
              <c:numCache>
                <c:formatCode>General</c:formatCode>
                <c:ptCount val="10"/>
                <c:pt idx="0">
                  <c:v>-0.46400000000000002</c:v>
                </c:pt>
                <c:pt idx="1">
                  <c:v>4.9000000000000002E-2</c:v>
                </c:pt>
                <c:pt idx="2">
                  <c:v>0.629</c:v>
                </c:pt>
                <c:pt idx="3">
                  <c:v>0.153</c:v>
                </c:pt>
                <c:pt idx="4">
                  <c:v>0.76100000000000001</c:v>
                </c:pt>
                <c:pt idx="5">
                  <c:v>-8.6999999999999994E-2</c:v>
                </c:pt>
                <c:pt idx="6">
                  <c:v>-1.0999999999999999E-2</c:v>
                </c:pt>
                <c:pt idx="7">
                  <c:v>0.107</c:v>
                </c:pt>
                <c:pt idx="8">
                  <c:v>-0.157</c:v>
                </c:pt>
                <c:pt idx="9">
                  <c:v>0.70499999999999996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0-43B0-99B1-7FC68CC37828}"/>
            </c:ext>
          </c:extLst>
        </c:ser>
        <c:ser>
          <c:idx val="1"/>
          <c:order val="1"/>
          <c:tx>
            <c:strRef>
              <c:f>'1'!$L$4</c:f>
              <c:strCache>
                <c:ptCount val="1"/>
                <c:pt idx="0">
                  <c:v>Max of win_percentage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'1'!$J$5:$J$15</c:f>
              <c:strCache>
                <c:ptCount val="10"/>
                <c:pt idx="0">
                  <c:v>Lucknow Super Giants</c:v>
                </c:pt>
                <c:pt idx="1">
                  <c:v>Chennai Super Kings</c:v>
                </c:pt>
                <c:pt idx="2">
                  <c:v>Punjab Kings</c:v>
                </c:pt>
                <c:pt idx="3">
                  <c:v>Kolkata Knight Riders</c:v>
                </c:pt>
                <c:pt idx="4">
                  <c:v>Gujarat Titans</c:v>
                </c:pt>
                <c:pt idx="5">
                  <c:v>Sunrisers Hyderabad</c:v>
                </c:pt>
                <c:pt idx="6">
                  <c:v>Royal Challengers Bengaluru</c:v>
                </c:pt>
                <c:pt idx="7">
                  <c:v>Mumbai Indians</c:v>
                </c:pt>
                <c:pt idx="8">
                  <c:v>Rajasthan Royals</c:v>
                </c:pt>
                <c:pt idx="9">
                  <c:v>Delhi Capitals</c:v>
                </c:pt>
              </c:strCache>
            </c:strRef>
          </c:cat>
          <c:val>
            <c:numRef>
              <c:f>'1'!$L$5:$L$15</c:f>
              <c:numCache>
                <c:formatCode>0.00%</c:formatCode>
                <c:ptCount val="10"/>
                <c:pt idx="0">
                  <c:v>0.69230769230769229</c:v>
                </c:pt>
                <c:pt idx="1">
                  <c:v>0.6875</c:v>
                </c:pt>
                <c:pt idx="2">
                  <c:v>0.66666666666666663</c:v>
                </c:pt>
                <c:pt idx="3">
                  <c:v>0.5625</c:v>
                </c:pt>
                <c:pt idx="4">
                  <c:v>0.5</c:v>
                </c:pt>
                <c:pt idx="5">
                  <c:v>0.5</c:v>
                </c:pt>
                <c:pt idx="6">
                  <c:v>0.4375</c:v>
                </c:pt>
                <c:pt idx="7">
                  <c:v>0.4</c:v>
                </c:pt>
                <c:pt idx="8">
                  <c:v>0.33333333333333331</c:v>
                </c:pt>
                <c:pt idx="9">
                  <c:v>0.21428571428571427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9E0-43B0-99B1-7FC68CC3782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2032727839"/>
        <c:axId val="2032728319"/>
      </c:barChart>
      <c:catAx>
        <c:axId val="2032727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28319"/>
        <c:crosses val="autoZero"/>
        <c:auto val="1"/>
        <c:lblAlgn val="ctr"/>
        <c:lblOffset val="100"/>
        <c:noMultiLvlLbl val="0"/>
      </c:catAx>
      <c:valAx>
        <c:axId val="203272831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27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5064599483204131"/>
          <c:y val="0.49949251495917579"/>
          <c:w val="0.19767441860465118"/>
          <c:h val="0.4491217164336452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project.xlsx]2!PivotTable3</c:name>
    <c:fmtId val="1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Batsmen scored the most runs while maintaining a strike rate above the tournament average</a:t>
            </a:r>
          </a:p>
        </c:rich>
      </c:tx>
      <c:layout>
        <c:manualLayout>
          <c:xMode val="edge"/>
          <c:yMode val="edge"/>
          <c:x val="0.21048640742532881"/>
          <c:y val="0.1148636908191354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5987917711403394"/>
          <c:y val="0.26464790305467134"/>
          <c:w val="0.44039557031628029"/>
          <c:h val="0.65468601664153681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'2'!$B$3</c:f>
              <c:strCache>
                <c:ptCount val="1"/>
                <c:pt idx="0">
                  <c:v>Sum of Total_Runs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'2'!$A$4:$A$18</c:f>
              <c:strCache>
                <c:ptCount val="14"/>
                <c:pt idx="0">
                  <c:v>Phil Salt (R448)</c:v>
                </c:pt>
                <c:pt idx="1">
                  <c:v>Kagiso Rabada</c:v>
                </c:pt>
                <c:pt idx="2">
                  <c:v>Varun Chakravarthy (R467)</c:v>
                </c:pt>
                <c:pt idx="3">
                  <c:v>Angkrish Raghuvanshi (R167)</c:v>
                </c:pt>
                <c:pt idx="4">
                  <c:v>Ricky Bhui</c:v>
                </c:pt>
                <c:pt idx="5">
                  <c:v>David Warner (R186)</c:v>
                </c:pt>
                <c:pt idx="6">
                  <c:v>Aiden Markram (R255)</c:v>
                </c:pt>
                <c:pt idx="7">
                  <c:v>Jonny Bairstow (R350)</c:v>
                </c:pt>
                <c:pt idx="8">
                  <c:v>Shreyas Iyer (R252)</c:v>
                </c:pt>
                <c:pt idx="9">
                  <c:v>Ishant Sharma (R463)</c:v>
                </c:pt>
                <c:pt idx="10">
                  <c:v>Mohammed Siraj (R375)</c:v>
                </c:pt>
                <c:pt idx="11">
                  <c:v>Mahipal Lomror</c:v>
                </c:pt>
                <c:pt idx="12">
                  <c:v>Heinrich Klaasen</c:v>
                </c:pt>
                <c:pt idx="13">
                  <c:v>Jaydev Unadkat (R217)</c:v>
                </c:pt>
              </c:strCache>
            </c:strRef>
          </c:cat>
          <c:val>
            <c:numRef>
              <c:f>'2'!$B$4:$B$18</c:f>
              <c:numCache>
                <c:formatCode>General</c:formatCode>
                <c:ptCount val="14"/>
                <c:pt idx="0">
                  <c:v>745</c:v>
                </c:pt>
                <c:pt idx="1">
                  <c:v>745</c:v>
                </c:pt>
                <c:pt idx="2">
                  <c:v>687</c:v>
                </c:pt>
                <c:pt idx="3">
                  <c:v>687</c:v>
                </c:pt>
                <c:pt idx="4">
                  <c:v>687</c:v>
                </c:pt>
                <c:pt idx="5">
                  <c:v>687</c:v>
                </c:pt>
                <c:pt idx="6">
                  <c:v>687</c:v>
                </c:pt>
                <c:pt idx="7">
                  <c:v>687</c:v>
                </c:pt>
                <c:pt idx="8">
                  <c:v>645</c:v>
                </c:pt>
                <c:pt idx="9">
                  <c:v>645</c:v>
                </c:pt>
                <c:pt idx="10">
                  <c:v>645</c:v>
                </c:pt>
                <c:pt idx="11">
                  <c:v>645</c:v>
                </c:pt>
                <c:pt idx="12">
                  <c:v>639</c:v>
                </c:pt>
                <c:pt idx="13">
                  <c:v>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30-43A4-B2DF-432C95416314}"/>
            </c:ext>
          </c:extLst>
        </c:ser>
        <c:ser>
          <c:idx val="1"/>
          <c:order val="1"/>
          <c:tx>
            <c:strRef>
              <c:f>'2'!$C$3</c:f>
              <c:strCache>
                <c:ptCount val="1"/>
                <c:pt idx="0">
                  <c:v>Average of Strike_Rate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'2'!$A$4:$A$18</c:f>
              <c:strCache>
                <c:ptCount val="14"/>
                <c:pt idx="0">
                  <c:v>Phil Salt (R448)</c:v>
                </c:pt>
                <c:pt idx="1">
                  <c:v>Kagiso Rabada</c:v>
                </c:pt>
                <c:pt idx="2">
                  <c:v>Varun Chakravarthy (R467)</c:v>
                </c:pt>
                <c:pt idx="3">
                  <c:v>Angkrish Raghuvanshi (R167)</c:v>
                </c:pt>
                <c:pt idx="4">
                  <c:v>Ricky Bhui</c:v>
                </c:pt>
                <c:pt idx="5">
                  <c:v>David Warner (R186)</c:v>
                </c:pt>
                <c:pt idx="6">
                  <c:v>Aiden Markram (R255)</c:v>
                </c:pt>
                <c:pt idx="7">
                  <c:v>Jonny Bairstow (R350)</c:v>
                </c:pt>
                <c:pt idx="8">
                  <c:v>Shreyas Iyer (R252)</c:v>
                </c:pt>
                <c:pt idx="9">
                  <c:v>Ishant Sharma (R463)</c:v>
                </c:pt>
                <c:pt idx="10">
                  <c:v>Mohammed Siraj (R375)</c:v>
                </c:pt>
                <c:pt idx="11">
                  <c:v>Mahipal Lomror</c:v>
                </c:pt>
                <c:pt idx="12">
                  <c:v>Heinrich Klaasen</c:v>
                </c:pt>
                <c:pt idx="13">
                  <c:v>Jaydev Unadkat (R217)</c:v>
                </c:pt>
              </c:strCache>
            </c:strRef>
          </c:cat>
          <c:val>
            <c:numRef>
              <c:f>'2'!$C$4:$C$18</c:f>
              <c:numCache>
                <c:formatCode>General</c:formatCode>
                <c:ptCount val="14"/>
                <c:pt idx="0">
                  <c:v>147.74</c:v>
                </c:pt>
                <c:pt idx="1">
                  <c:v>147.74</c:v>
                </c:pt>
                <c:pt idx="2">
                  <c:v>167.89</c:v>
                </c:pt>
                <c:pt idx="3">
                  <c:v>167.89</c:v>
                </c:pt>
                <c:pt idx="4">
                  <c:v>167.89</c:v>
                </c:pt>
                <c:pt idx="5">
                  <c:v>167.89</c:v>
                </c:pt>
                <c:pt idx="6">
                  <c:v>167.89</c:v>
                </c:pt>
                <c:pt idx="7">
                  <c:v>167.89</c:v>
                </c:pt>
                <c:pt idx="8">
                  <c:v>147.24</c:v>
                </c:pt>
                <c:pt idx="9">
                  <c:v>147.24</c:v>
                </c:pt>
                <c:pt idx="10">
                  <c:v>147.24</c:v>
                </c:pt>
                <c:pt idx="11">
                  <c:v>147.24</c:v>
                </c:pt>
                <c:pt idx="12">
                  <c:v>140.6</c:v>
                </c:pt>
                <c:pt idx="13">
                  <c:v>140.6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30-43A4-B2DF-432C9541631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2768639"/>
        <c:axId val="2032761919"/>
      </c:barChart>
      <c:catAx>
        <c:axId val="203276863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61919"/>
        <c:crosses val="autoZero"/>
        <c:auto val="1"/>
        <c:lblAlgn val="ctr"/>
        <c:lblOffset val="100"/>
        <c:noMultiLvlLbl val="0"/>
      </c:catAx>
      <c:valAx>
        <c:axId val="203276191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686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1386878839865684"/>
          <c:y val="0.60289167643938124"/>
          <c:w val="0.17216473115441572"/>
          <c:h val="0.2804954068241469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project.xlsx]10!PivotTable4</c:name>
    <c:fmtId val="3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 performance across different venues </a:t>
            </a:r>
          </a:p>
        </c:rich>
      </c:tx>
      <c:layout>
        <c:manualLayout>
          <c:xMode val="edge"/>
          <c:yMode val="edge"/>
          <c:x val="0.15668645927455793"/>
          <c:y val="7.716808836395450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2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0059019261936518"/>
          <c:y val="0.16775207786526683"/>
          <c:w val="0.47812869019787824"/>
          <c:h val="0.7532623851706036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'10'!$B$3</c:f>
              <c:strCache>
                <c:ptCount val="1"/>
                <c:pt idx="0">
                  <c:v>Count of Matches_Played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'10'!$A$4:$A$14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Bengaluru</c:v>
                </c:pt>
                <c:pt idx="9">
                  <c:v>Sunrisers Hyderabad</c:v>
                </c:pt>
              </c:strCache>
            </c:strRef>
          </c:cat>
          <c:val>
            <c:numRef>
              <c:f>'10'!$B$4:$B$14</c:f>
              <c:numCache>
                <c:formatCode>General</c:formatCode>
                <c:ptCount val="10"/>
                <c:pt idx="0">
                  <c:v>56</c:v>
                </c:pt>
                <c:pt idx="1">
                  <c:v>49</c:v>
                </c:pt>
                <c:pt idx="2">
                  <c:v>58</c:v>
                </c:pt>
                <c:pt idx="3">
                  <c:v>53</c:v>
                </c:pt>
                <c:pt idx="4">
                  <c:v>49</c:v>
                </c:pt>
                <c:pt idx="5">
                  <c:v>47</c:v>
                </c:pt>
                <c:pt idx="6">
                  <c:v>50</c:v>
                </c:pt>
                <c:pt idx="7">
                  <c:v>47</c:v>
                </c:pt>
                <c:pt idx="8">
                  <c:v>45</c:v>
                </c:pt>
                <c:pt idx="9">
                  <c:v>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67-4211-A6A2-A25AA0DBE069}"/>
            </c:ext>
          </c:extLst>
        </c:ser>
        <c:ser>
          <c:idx val="1"/>
          <c:order val="1"/>
          <c:tx>
            <c:strRef>
              <c:f>'10'!$C$3</c:f>
              <c:strCache>
                <c:ptCount val="1"/>
                <c:pt idx="0">
                  <c:v>Sum of Total_Runs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hade val="51000"/>
                    <a:satMod val="130000"/>
                  </a:schemeClr>
                </a:gs>
                <a:gs pos="80000">
                  <a:schemeClr val="accent2">
                    <a:shade val="93000"/>
                    <a:satMod val="130000"/>
                  </a:schemeClr>
                </a:gs>
                <a:gs pos="100000">
                  <a:schemeClr val="accent2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'10'!$A$4:$A$14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Bengaluru</c:v>
                </c:pt>
                <c:pt idx="9">
                  <c:v>Sunrisers Hyderabad</c:v>
                </c:pt>
              </c:strCache>
            </c:strRef>
          </c:cat>
          <c:val>
            <c:numRef>
              <c:f>'10'!$C$4:$C$14</c:f>
              <c:numCache>
                <c:formatCode>General</c:formatCode>
                <c:ptCount val="10"/>
                <c:pt idx="0">
                  <c:v>13623</c:v>
                </c:pt>
                <c:pt idx="1">
                  <c:v>13016</c:v>
                </c:pt>
                <c:pt idx="2">
                  <c:v>16012</c:v>
                </c:pt>
                <c:pt idx="3">
                  <c:v>15302</c:v>
                </c:pt>
                <c:pt idx="4">
                  <c:v>12779</c:v>
                </c:pt>
                <c:pt idx="5">
                  <c:v>11218</c:v>
                </c:pt>
                <c:pt idx="6">
                  <c:v>12776</c:v>
                </c:pt>
                <c:pt idx="7">
                  <c:v>13110</c:v>
                </c:pt>
                <c:pt idx="8">
                  <c:v>13014</c:v>
                </c:pt>
                <c:pt idx="9">
                  <c:v>11610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C67-4211-A6A2-A25AA0DBE069}"/>
            </c:ext>
          </c:extLst>
        </c:ser>
        <c:ser>
          <c:idx val="2"/>
          <c:order val="2"/>
          <c:tx>
            <c:strRef>
              <c:f>'10'!$D$3</c:f>
              <c:strCache>
                <c:ptCount val="1"/>
                <c:pt idx="0">
                  <c:v>Sum of Wickets_Taken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hade val="51000"/>
                    <a:satMod val="130000"/>
                  </a:schemeClr>
                </a:gs>
                <a:gs pos="80000">
                  <a:schemeClr val="accent3">
                    <a:shade val="93000"/>
                    <a:satMod val="130000"/>
                  </a:schemeClr>
                </a:gs>
                <a:gs pos="100000">
                  <a:schemeClr val="accent3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2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2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'10'!$A$4:$A$14</c:f>
              <c:strCache>
                <c:ptCount val="10"/>
                <c:pt idx="0">
                  <c:v>Chennai Super Kings</c:v>
                </c:pt>
                <c:pt idx="1">
                  <c:v>Delhi Capitals</c:v>
                </c:pt>
                <c:pt idx="2">
                  <c:v>Gujarat Titans</c:v>
                </c:pt>
                <c:pt idx="3">
                  <c:v>Kolkata Knight Riders</c:v>
                </c:pt>
                <c:pt idx="4">
                  <c:v>Lucknow Super Giants</c:v>
                </c:pt>
                <c:pt idx="5">
                  <c:v>Mumbai Indians</c:v>
                </c:pt>
                <c:pt idx="6">
                  <c:v>Punjab Kings</c:v>
                </c:pt>
                <c:pt idx="7">
                  <c:v>Rajasthan Royals</c:v>
                </c:pt>
                <c:pt idx="8">
                  <c:v>Royal Challengers Bengaluru</c:v>
                </c:pt>
                <c:pt idx="9">
                  <c:v>Sunrisers Hyderabad</c:v>
                </c:pt>
              </c:strCache>
            </c:strRef>
          </c:cat>
          <c:val>
            <c:numRef>
              <c:f>'10'!$D$4:$D$14</c:f>
              <c:numCache>
                <c:formatCode>General</c:formatCode>
                <c:ptCount val="10"/>
                <c:pt idx="0">
                  <c:v>321</c:v>
                </c:pt>
                <c:pt idx="1">
                  <c:v>406</c:v>
                </c:pt>
                <c:pt idx="2">
                  <c:v>367</c:v>
                </c:pt>
                <c:pt idx="3">
                  <c:v>317</c:v>
                </c:pt>
                <c:pt idx="4">
                  <c:v>374</c:v>
                </c:pt>
                <c:pt idx="5">
                  <c:v>356</c:v>
                </c:pt>
                <c:pt idx="6">
                  <c:v>366</c:v>
                </c:pt>
                <c:pt idx="7">
                  <c:v>377</c:v>
                </c:pt>
                <c:pt idx="8">
                  <c:v>356</c:v>
                </c:pt>
                <c:pt idx="9">
                  <c:v>296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C67-4211-A6A2-A25AA0DBE069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525700448"/>
        <c:axId val="525702848"/>
      </c:barChart>
      <c:catAx>
        <c:axId val="52570044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2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2848"/>
        <c:crosses val="autoZero"/>
        <c:auto val="1"/>
        <c:lblAlgn val="ctr"/>
        <c:lblOffset val="100"/>
        <c:noMultiLvlLbl val="0"/>
      </c:catAx>
      <c:valAx>
        <c:axId val="525702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2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2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004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671523982999402"/>
          <c:y val="0.3204401763315497"/>
          <c:w val="0.20506982392228293"/>
          <c:h val="0.5146419715491364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2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2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project.xlsx]3!PivotTable4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100"/>
              <a:t>Bowlers took the most wickets with an economy rate lower than the overall average</a:t>
            </a:r>
          </a:p>
        </c:rich>
      </c:tx>
      <c:layout>
        <c:manualLayout>
          <c:xMode val="edge"/>
          <c:yMode val="edge"/>
          <c:x val="0.13216759363412905"/>
          <c:y val="0.16456692913385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39805136955791753"/>
          <c:y val="0.30791563554555679"/>
          <c:w val="0.39811299629213015"/>
          <c:h val="0.605425946756655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'3'!$B$3</c:f>
              <c:strCache>
                <c:ptCount val="1"/>
                <c:pt idx="0">
                  <c:v>Sum of Wickets_Taken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'3'!$A$4:$A$15</c:f>
              <c:strCache>
                <c:ptCount val="11"/>
                <c:pt idx="0">
                  <c:v>Rajan Kumar</c:v>
                </c:pt>
                <c:pt idx="1">
                  <c:v>Abhinav Manohar (R480)</c:v>
                </c:pt>
                <c:pt idx="2">
                  <c:v>Sam Curran (R451)</c:v>
                </c:pt>
                <c:pt idx="3">
                  <c:v>Glenn Phillips</c:v>
                </c:pt>
                <c:pt idx="4">
                  <c:v>Mukesh Kumar (R496)</c:v>
                </c:pt>
                <c:pt idx="5">
                  <c:v>Harpreet Brar (R191)</c:v>
                </c:pt>
                <c:pt idx="6">
                  <c:v>Reece Topley (R314)</c:v>
                </c:pt>
                <c:pt idx="7">
                  <c:v>Jhye Richardson (R390)</c:v>
                </c:pt>
                <c:pt idx="8">
                  <c:v>Sanju Samson (R261)</c:v>
                </c:pt>
                <c:pt idx="9">
                  <c:v>Karn Sharma (R477)</c:v>
                </c:pt>
                <c:pt idx="10">
                  <c:v>Mohsin Khan (R196)</c:v>
                </c:pt>
              </c:strCache>
            </c:strRef>
          </c:cat>
          <c:val>
            <c:numRef>
              <c:f>'3'!$B$4:$B$15</c:f>
              <c:numCache>
                <c:formatCode>General</c:formatCode>
                <c:ptCount val="11"/>
                <c:pt idx="0">
                  <c:v>31</c:v>
                </c:pt>
                <c:pt idx="1">
                  <c:v>31</c:v>
                </c:pt>
                <c:pt idx="2">
                  <c:v>31</c:v>
                </c:pt>
                <c:pt idx="3">
                  <c:v>31</c:v>
                </c:pt>
                <c:pt idx="4">
                  <c:v>31</c:v>
                </c:pt>
                <c:pt idx="5">
                  <c:v>31</c:v>
                </c:pt>
                <c:pt idx="6">
                  <c:v>31</c:v>
                </c:pt>
                <c:pt idx="7">
                  <c:v>31</c:v>
                </c:pt>
                <c:pt idx="8">
                  <c:v>31</c:v>
                </c:pt>
                <c:pt idx="9">
                  <c:v>31</c:v>
                </c:pt>
                <c:pt idx="10">
                  <c:v>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269-4E80-B910-6A45FD7D87FB}"/>
            </c:ext>
          </c:extLst>
        </c:ser>
        <c:ser>
          <c:idx val="1"/>
          <c:order val="1"/>
          <c:tx>
            <c:strRef>
              <c:f>'3'!$C$3</c:f>
              <c:strCache>
                <c:ptCount val="1"/>
                <c:pt idx="0">
                  <c:v>Average of Economy_Rate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'3'!$A$4:$A$15</c:f>
              <c:strCache>
                <c:ptCount val="11"/>
                <c:pt idx="0">
                  <c:v>Rajan Kumar</c:v>
                </c:pt>
                <c:pt idx="1">
                  <c:v>Abhinav Manohar (R480)</c:v>
                </c:pt>
                <c:pt idx="2">
                  <c:v>Sam Curran (R451)</c:v>
                </c:pt>
                <c:pt idx="3">
                  <c:v>Glenn Phillips</c:v>
                </c:pt>
                <c:pt idx="4">
                  <c:v>Mukesh Kumar (R496)</c:v>
                </c:pt>
                <c:pt idx="5">
                  <c:v>Harpreet Brar (R191)</c:v>
                </c:pt>
                <c:pt idx="6">
                  <c:v>Reece Topley (R314)</c:v>
                </c:pt>
                <c:pt idx="7">
                  <c:v>Jhye Richardson (R390)</c:v>
                </c:pt>
                <c:pt idx="8">
                  <c:v>Sanju Samson (R261)</c:v>
                </c:pt>
                <c:pt idx="9">
                  <c:v>Karn Sharma (R477)</c:v>
                </c:pt>
                <c:pt idx="10">
                  <c:v>Mohsin Khan (R196)</c:v>
                </c:pt>
              </c:strCache>
            </c:strRef>
          </c:cat>
          <c:val>
            <c:numRef>
              <c:f>'3'!$C$4:$C$15</c:f>
              <c:numCache>
                <c:formatCode>General</c:formatCode>
                <c:ptCount val="11"/>
                <c:pt idx="0">
                  <c:v>7.88</c:v>
                </c:pt>
                <c:pt idx="1">
                  <c:v>7.88</c:v>
                </c:pt>
                <c:pt idx="2">
                  <c:v>6.57</c:v>
                </c:pt>
                <c:pt idx="3">
                  <c:v>6.57</c:v>
                </c:pt>
                <c:pt idx="4">
                  <c:v>7.88</c:v>
                </c:pt>
                <c:pt idx="5">
                  <c:v>7.88</c:v>
                </c:pt>
                <c:pt idx="6">
                  <c:v>7.88</c:v>
                </c:pt>
                <c:pt idx="7">
                  <c:v>7.88</c:v>
                </c:pt>
                <c:pt idx="8">
                  <c:v>7.88</c:v>
                </c:pt>
                <c:pt idx="9">
                  <c:v>7.88</c:v>
                </c:pt>
                <c:pt idx="10">
                  <c:v>7.88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269-4E80-B910-6A45FD7D87FB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525730688"/>
        <c:axId val="525714368"/>
      </c:barChart>
      <c:catAx>
        <c:axId val="52573068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14368"/>
        <c:crosses val="autoZero"/>
        <c:auto val="1"/>
        <c:lblAlgn val="ctr"/>
        <c:lblOffset val="100"/>
        <c:noMultiLvlLbl val="0"/>
      </c:catAx>
      <c:valAx>
        <c:axId val="52571436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306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695812174914172"/>
          <c:y val="0.48450464214361266"/>
          <c:w val="0.17998704796365206"/>
          <c:h val="0.3971563554555680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project.xlsx]4!PivotTable2</c:name>
    <c:fmtId val="2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venues produced the highest average scores</a:t>
            </a:r>
          </a:p>
        </c:rich>
      </c:tx>
      <c:layout>
        <c:manualLayout>
          <c:xMode val="edge"/>
          <c:yMode val="edge"/>
          <c:x val="0.26514162852630246"/>
          <c:y val="1.286808796420029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47994028198890953"/>
          <c:y val="7.9767754226544127E-2"/>
          <c:w val="0.36516314853029902"/>
          <c:h val="0.84104048025328426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'4'!$B$3</c:f>
              <c:strCache>
                <c:ptCount val="1"/>
                <c:pt idx="0">
                  <c:v>score_1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'4'!$A$4:$A$14</c:f>
              <c:strCache>
                <c:ptCount val="10"/>
                <c:pt idx="0">
                  <c:v>Arun Jaitley Stadium, Delhi</c:v>
                </c:pt>
                <c:pt idx="1">
                  <c:v>BRSABV Ekana Cricket Stadium, Lucknow</c:v>
                </c:pt>
                <c:pt idx="2">
                  <c:v>Eden Gardens, Kolkata</c:v>
                </c:pt>
                <c:pt idx="3">
                  <c:v>M. Chinnaswamy Stadium, Bengaluru</c:v>
                </c:pt>
                <c:pt idx="4">
                  <c:v>MA Chidambaram Stadium, Chennai</c:v>
                </c:pt>
                <c:pt idx="5">
                  <c:v>Mullanpur New Chandigarh Stadium, Chandigarh</c:v>
                </c:pt>
                <c:pt idx="6">
                  <c:v>Narendra Modi Stadium, Ahmedabad</c:v>
                </c:pt>
                <c:pt idx="7">
                  <c:v>Rajiv Gandhi Intl. Cricket Stadium, Hyderabad</c:v>
                </c:pt>
                <c:pt idx="8">
                  <c:v>Sawai Mansingh Stadium, Jaipur</c:v>
                </c:pt>
                <c:pt idx="9">
                  <c:v>Wankhede Stadium, Mumbai</c:v>
                </c:pt>
              </c:strCache>
            </c:strRef>
          </c:cat>
          <c:val>
            <c:numRef>
              <c:f>'4'!$B$4:$B$14</c:f>
              <c:numCache>
                <c:formatCode>0</c:formatCode>
                <c:ptCount val="10"/>
                <c:pt idx="0">
                  <c:v>166.17714285714283</c:v>
                </c:pt>
                <c:pt idx="1">
                  <c:v>182.27999999999997</c:v>
                </c:pt>
                <c:pt idx="2">
                  <c:v>184.78624999999997</c:v>
                </c:pt>
                <c:pt idx="3">
                  <c:v>176.65249999999997</c:v>
                </c:pt>
                <c:pt idx="4">
                  <c:v>186.48555555555552</c:v>
                </c:pt>
                <c:pt idx="5">
                  <c:v>184.86499999999998</c:v>
                </c:pt>
                <c:pt idx="6">
                  <c:v>180.57777777777775</c:v>
                </c:pt>
                <c:pt idx="7">
                  <c:v>188.22199999999998</c:v>
                </c:pt>
                <c:pt idx="8">
                  <c:v>194.60857142857139</c:v>
                </c:pt>
                <c:pt idx="9">
                  <c:v>177.94999999999996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865-4284-876E-016D7537650C}"/>
            </c:ext>
          </c:extLst>
        </c:ser>
        <c:ser>
          <c:idx val="1"/>
          <c:order val="1"/>
          <c:tx>
            <c:strRef>
              <c:f>'4'!$C$3</c:f>
              <c:strCache>
                <c:ptCount val="1"/>
                <c:pt idx="0">
                  <c:v>scores_2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'4'!$A$4:$A$14</c:f>
              <c:strCache>
                <c:ptCount val="10"/>
                <c:pt idx="0">
                  <c:v>Arun Jaitley Stadium, Delhi</c:v>
                </c:pt>
                <c:pt idx="1">
                  <c:v>BRSABV Ekana Cricket Stadium, Lucknow</c:v>
                </c:pt>
                <c:pt idx="2">
                  <c:v>Eden Gardens, Kolkata</c:v>
                </c:pt>
                <c:pt idx="3">
                  <c:v>M. Chinnaswamy Stadium, Bengaluru</c:v>
                </c:pt>
                <c:pt idx="4">
                  <c:v>MA Chidambaram Stadium, Chennai</c:v>
                </c:pt>
                <c:pt idx="5">
                  <c:v>Mullanpur New Chandigarh Stadium, Chandigarh</c:v>
                </c:pt>
                <c:pt idx="6">
                  <c:v>Narendra Modi Stadium, Ahmedabad</c:v>
                </c:pt>
                <c:pt idx="7">
                  <c:v>Rajiv Gandhi Intl. Cricket Stadium, Hyderabad</c:v>
                </c:pt>
                <c:pt idx="8">
                  <c:v>Sawai Mansingh Stadium, Jaipur</c:v>
                </c:pt>
                <c:pt idx="9">
                  <c:v>Wankhede Stadium, Mumbai</c:v>
                </c:pt>
              </c:strCache>
            </c:strRef>
          </c:cat>
          <c:val>
            <c:numRef>
              <c:f>'4'!$C$4:$C$14</c:f>
              <c:numCache>
                <c:formatCode>General</c:formatCode>
                <c:ptCount val="10"/>
                <c:pt idx="0">
                  <c:v>159.57142857142858</c:v>
                </c:pt>
                <c:pt idx="1">
                  <c:v>190.75</c:v>
                </c:pt>
                <c:pt idx="2">
                  <c:v>188.125</c:v>
                </c:pt>
                <c:pt idx="3">
                  <c:v>156.625</c:v>
                </c:pt>
                <c:pt idx="4">
                  <c:v>157.22222222222223</c:v>
                </c:pt>
                <c:pt idx="5">
                  <c:v>183.83333333333334</c:v>
                </c:pt>
                <c:pt idx="6">
                  <c:v>167.22222222222223</c:v>
                </c:pt>
                <c:pt idx="7">
                  <c:v>173.6</c:v>
                </c:pt>
                <c:pt idx="8">
                  <c:v>152.14285714285714</c:v>
                </c:pt>
                <c:pt idx="9">
                  <c:v>179.63636363636363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865-4284-876E-016D7537650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2032781599"/>
        <c:axId val="2032783039"/>
      </c:barChart>
      <c:catAx>
        <c:axId val="2032781599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83039"/>
        <c:crosses val="autoZero"/>
        <c:auto val="1"/>
        <c:lblAlgn val="ctr"/>
        <c:lblOffset val="100"/>
        <c:noMultiLvlLbl val="0"/>
      </c:catAx>
      <c:valAx>
        <c:axId val="2032783039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3278159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project.xlsx]5!PivotTable4</c:name>
    <c:fmtId val="21"/>
  </c:pivotSource>
  <c:chart>
    <c:title>
      <c:tx>
        <c:rich>
          <a:bodyPr rot="0" spcFirstLastPara="1" vertOverflow="ellipsis" vert="horz" wrap="square" anchor="ctr" anchorCtr="1"/>
          <a:lstStyle/>
          <a:p>
            <a:pPr algn="r">
              <a:defRPr sz="1800" b="1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Winning the toss influence match results for different teams </a:t>
            </a:r>
          </a:p>
        </c:rich>
      </c:tx>
      <c:layout>
        <c:manualLayout>
          <c:xMode val="edge"/>
          <c:yMode val="edge"/>
          <c:x val="0.11405136857892763"/>
          <c:y val="7.899965894093746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algn="r">
            <a:defRPr sz="1800" b="1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</c:pivotFmt>
      <c:pivotFmt>
        <c:idx val="3"/>
      </c:pivotFmt>
      <c:pivotFmt>
        <c:idx val="4"/>
      </c:pivotFmt>
      <c:pivotFmt>
        <c:idx val="5"/>
      </c:pivotFmt>
      <c:pivotFmt>
        <c:idx val="6"/>
      </c:pivotFmt>
      <c:pivotFmt>
        <c:idx val="7"/>
      </c:pivotFmt>
      <c:pivotFmt>
        <c:idx val="8"/>
      </c:pivotFmt>
      <c:pivotFmt>
        <c:idx val="9"/>
      </c:pivotFmt>
      <c:pivotFmt>
        <c:idx val="10"/>
      </c:pivotFmt>
      <c:pivotFmt>
        <c:idx val="11"/>
      </c:pivotFmt>
      <c:pivotFmt>
        <c:idx val="12"/>
      </c:pivotFmt>
      <c:pivotFmt>
        <c:idx val="13"/>
      </c:pivotFmt>
      <c:pivotFmt>
        <c:idx val="14"/>
      </c:pivotFmt>
      <c:pivotFmt>
        <c:idx val="15"/>
      </c:pivotFmt>
      <c:pivotFmt>
        <c:idx val="16"/>
      </c:pivotFmt>
      <c:pivotFmt>
        <c:idx val="17"/>
      </c:pivotFmt>
      <c:pivotFmt>
        <c:idx val="18"/>
      </c:pivotFmt>
      <c:pivotFmt>
        <c:idx val="19"/>
      </c:pivotFmt>
      <c:pivotFmt>
        <c:idx val="20"/>
      </c:pivotFmt>
      <c:pivotFmt>
        <c:idx val="21"/>
      </c:pivotFmt>
      <c:pivotFmt>
        <c:idx val="2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</c:pivotFmt>
      <c:pivotFmt>
        <c:idx val="24"/>
      </c:pivotFmt>
      <c:pivotFmt>
        <c:idx val="25"/>
      </c:pivotFmt>
      <c:pivotFmt>
        <c:idx val="26"/>
      </c:pivotFmt>
      <c:pivotFmt>
        <c:idx val="27"/>
      </c:pivotFmt>
      <c:pivotFmt>
        <c:idx val="28"/>
      </c:pivotFmt>
      <c:pivotFmt>
        <c:idx val="29"/>
      </c:pivotFmt>
      <c:pivotFmt>
        <c:idx val="30"/>
      </c:pivotFmt>
      <c:pivotFmt>
        <c:idx val="31"/>
      </c:pivotFmt>
      <c:pivotFmt>
        <c:idx val="32"/>
      </c:pivotFmt>
      <c:pivotFmt>
        <c:idx val="3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4"/>
      </c:pivotFmt>
      <c:pivotFmt>
        <c:idx val="35"/>
      </c:pivotFmt>
      <c:pivotFmt>
        <c:idx val="36"/>
      </c:pivotFmt>
      <c:pivotFmt>
        <c:idx val="37"/>
      </c:pivotFmt>
      <c:pivotFmt>
        <c:idx val="38"/>
      </c:pivotFmt>
      <c:pivotFmt>
        <c:idx val="39"/>
      </c:pivotFmt>
      <c:pivotFmt>
        <c:idx val="40"/>
      </c:pivotFmt>
      <c:pivotFmt>
        <c:idx val="41"/>
      </c:pivotFmt>
      <c:pivotFmt>
        <c:idx val="42"/>
      </c:pivotFmt>
      <c:pivotFmt>
        <c:idx val="43"/>
      </c:pivotFmt>
      <c:pivotFmt>
        <c:idx val="4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4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in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6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7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8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59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0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1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2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3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4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  <c:pivotFmt>
        <c:idx val="65"/>
        <c:spPr>
          <a:solidFill>
            <a:schemeClr val="accent1"/>
          </a:solidFill>
          <a:ln>
            <a:noFill/>
          </a:ln>
          <a:effectLst>
            <a:outerShdw blurRad="317500" algn="ctr" rotWithShape="0">
              <a:prstClr val="black">
                <a:alpha val="25000"/>
              </a:prstClr>
            </a:outerShdw>
          </a:effectLst>
        </c:spPr>
      </c:pivotFmt>
    </c:pivotFmts>
    <c:plotArea>
      <c:layout>
        <c:manualLayout>
          <c:layoutTarget val="inner"/>
          <c:xMode val="edge"/>
          <c:yMode val="edge"/>
          <c:x val="0.13252538911359485"/>
          <c:y val="0.19712583596541952"/>
          <c:w val="0.3970388674819903"/>
          <c:h val="0.7379987988789537"/>
        </c:manualLayout>
      </c:layout>
      <c:pieChart>
        <c:varyColors val="1"/>
        <c:ser>
          <c:idx val="0"/>
          <c:order val="0"/>
          <c:tx>
            <c:strRef>
              <c:f>'5'!$B$3</c:f>
              <c:strCache>
                <c:ptCount val="1"/>
                <c:pt idx="0">
                  <c:v>percentage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A4A3-44F6-B390-1EBB2F2805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A4A3-44F6-B390-1EBB2F2805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A4A3-44F6-B390-1EBB2F2805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A4A3-44F6-B390-1EBB2F2805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A4A3-44F6-B390-1EBB2F2805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A4A3-44F6-B390-1EBB2F2805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A4A3-44F6-B390-1EBB2F2805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A4A3-44F6-B390-1EBB2F2805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A4A3-44F6-B390-1EBB2F2805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A4A3-44F6-B390-1EBB2F2805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'5'!$A$4:$A$14</c:f>
              <c:strCache>
                <c:ptCount val="10"/>
                <c:pt idx="0">
                  <c:v>Punjab Kings</c:v>
                </c:pt>
                <c:pt idx="1">
                  <c:v>Gujarat Titans</c:v>
                </c:pt>
                <c:pt idx="2">
                  <c:v>Chennai Super Kings</c:v>
                </c:pt>
                <c:pt idx="3">
                  <c:v>Kolkata Knight Riders</c:v>
                </c:pt>
                <c:pt idx="4">
                  <c:v>Royal Challengers Bengaluru</c:v>
                </c:pt>
                <c:pt idx="5">
                  <c:v>Mumbai Indians</c:v>
                </c:pt>
                <c:pt idx="6">
                  <c:v>Lucknow Super Giants</c:v>
                </c:pt>
                <c:pt idx="7">
                  <c:v>Sunrisers Hyderabad</c:v>
                </c:pt>
                <c:pt idx="8">
                  <c:v>Rajasthan Royals</c:v>
                </c:pt>
                <c:pt idx="9">
                  <c:v>Delhi Capitals</c:v>
                </c:pt>
              </c:strCache>
            </c:strRef>
          </c:cat>
          <c:val>
            <c:numRef>
              <c:f>'5'!$B$4:$B$14</c:f>
              <c:numCache>
                <c:formatCode>0%</c:formatCode>
                <c:ptCount val="10"/>
                <c:pt idx="0">
                  <c:v>0.66666666666666663</c:v>
                </c:pt>
                <c:pt idx="1">
                  <c:v>0.58333333333333337</c:v>
                </c:pt>
                <c:pt idx="2">
                  <c:v>0.5714285714285714</c:v>
                </c:pt>
                <c:pt idx="3">
                  <c:v>0.55555555555555558</c:v>
                </c:pt>
                <c:pt idx="4">
                  <c:v>0.5</c:v>
                </c:pt>
                <c:pt idx="5">
                  <c:v>0.5</c:v>
                </c:pt>
                <c:pt idx="6">
                  <c:v>0.5</c:v>
                </c:pt>
                <c:pt idx="7">
                  <c:v>0.4</c:v>
                </c:pt>
                <c:pt idx="8">
                  <c:v>0.2857142857142857</c:v>
                </c:pt>
                <c:pt idx="9">
                  <c:v>0.2857142857142857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4-A4A3-44F6-B390-1EBB2F280556}"/>
            </c:ext>
          </c:extLst>
        </c:ser>
        <c:ser>
          <c:idx val="1"/>
          <c:order val="1"/>
          <c:tx>
            <c:strRef>
              <c:f>'5'!$C$3</c:f>
              <c:strCache>
                <c:ptCount val="1"/>
                <c:pt idx="0">
                  <c:v>Toss win also match win 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6-A4A3-44F6-B390-1EBB2F280556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8-A4A3-44F6-B390-1EBB2F280556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A-A4A3-44F6-B390-1EBB2F280556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C-A4A3-44F6-B390-1EBB2F280556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E-A4A3-44F6-B390-1EBB2F280556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0-A4A3-44F6-B390-1EBB2F280556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2-A4A3-44F6-B390-1EBB2F280556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4-A4A3-44F6-B390-1EBB2F280556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6-A4A3-44F6-B390-1EBB2F280556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8-A4A3-44F6-B390-1EBB2F280556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'5'!$A$4:$A$14</c:f>
              <c:strCache>
                <c:ptCount val="10"/>
                <c:pt idx="0">
                  <c:v>Punjab Kings</c:v>
                </c:pt>
                <c:pt idx="1">
                  <c:v>Gujarat Titans</c:v>
                </c:pt>
                <c:pt idx="2">
                  <c:v>Chennai Super Kings</c:v>
                </c:pt>
                <c:pt idx="3">
                  <c:v>Kolkata Knight Riders</c:v>
                </c:pt>
                <c:pt idx="4">
                  <c:v>Royal Challengers Bengaluru</c:v>
                </c:pt>
                <c:pt idx="5">
                  <c:v>Mumbai Indians</c:v>
                </c:pt>
                <c:pt idx="6">
                  <c:v>Lucknow Super Giants</c:v>
                </c:pt>
                <c:pt idx="7">
                  <c:v>Sunrisers Hyderabad</c:v>
                </c:pt>
                <c:pt idx="8">
                  <c:v>Rajasthan Royals</c:v>
                </c:pt>
                <c:pt idx="9">
                  <c:v>Delhi Capitals</c:v>
                </c:pt>
              </c:strCache>
            </c:strRef>
          </c:cat>
          <c:val>
            <c:numRef>
              <c:f>'5'!$C$4:$C$14</c:f>
              <c:numCache>
                <c:formatCode>General</c:formatCode>
                <c:ptCount val="10"/>
                <c:pt idx="0">
                  <c:v>4</c:v>
                </c:pt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5</c:v>
                </c:pt>
                <c:pt idx="5">
                  <c:v>4</c:v>
                </c:pt>
                <c:pt idx="6">
                  <c:v>1</c:v>
                </c:pt>
                <c:pt idx="7">
                  <c:v>2</c:v>
                </c:pt>
                <c:pt idx="8">
                  <c:v>2</c:v>
                </c:pt>
                <c:pt idx="9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29-A4A3-44F6-B390-1EBB2F280556}"/>
            </c:ext>
          </c:extLst>
        </c:ser>
        <c:dLbls>
          <c:dLblPos val="in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0008356668182437"/>
          <c:y val="0.29357289025312516"/>
          <c:w val="0.28471886492911791"/>
          <c:h val="0.70518001987039758"/>
        </c:manualLayout>
      </c:layout>
      <c:overlay val="0"/>
      <c:spPr>
        <a:solidFill>
          <a:schemeClr val="lt1">
            <a:alpha val="78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project.xlsx]6!PivotTable5</c:name>
    <c:fmtId val="16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teams that performed best during Overs based on run rate</a:t>
            </a:r>
          </a:p>
        </c:rich>
      </c:tx>
      <c:layout>
        <c:manualLayout>
          <c:xMode val="edge"/>
          <c:yMode val="edge"/>
          <c:x val="0.15001254585210233"/>
          <c:y val="1.25884400319525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spc="120" normalizeH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2225" cap="rnd">
            <a:solidFill>
              <a:schemeClr val="accent1"/>
            </a:solidFill>
            <a:round/>
          </a:ln>
          <a:effectLst/>
        </c:spPr>
        <c:marker>
          <c:symbol val="diamond"/>
          <c:size val="6"/>
          <c:spPr>
            <a:solidFill>
              <a:schemeClr val="accent1"/>
            </a:solidFill>
            <a:ln w="9525">
              <a:solidFill>
                <a:schemeClr val="accent1"/>
              </a:solidFill>
              <a:round/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50000"/>
                      <a:lumOff val="50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4547333707717491"/>
          <c:y val="0.13915554920919859"/>
          <c:w val="0.83171392270958555"/>
          <c:h val="0.79028429412644663"/>
        </c:manualLayout>
      </c:layout>
      <c:lineChart>
        <c:grouping val="standard"/>
        <c:varyColors val="0"/>
        <c:ser>
          <c:idx val="0"/>
          <c:order val="0"/>
          <c:tx>
            <c:strRef>
              <c:f>'6'!$B$3</c:f>
              <c:strCache>
                <c:ptCount val="1"/>
                <c:pt idx="0">
                  <c:v>Total</c:v>
                </c:pt>
              </c:strCache>
            </c:strRef>
          </c:tx>
          <c:spPr>
            <a:ln w="22225" cap="rnd">
              <a:solidFill>
                <a:schemeClr val="accent1"/>
              </a:solidFill>
              <a:round/>
            </a:ln>
            <a:effectLst/>
          </c:spPr>
          <c:marker>
            <c:symbol val="diamond"/>
            <c:size val="6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'6'!$A$4:$A$14</c:f>
              <c:strCache>
                <c:ptCount val="10"/>
                <c:pt idx="0">
                  <c:v>GT</c:v>
                </c:pt>
                <c:pt idx="1">
                  <c:v>RCB</c:v>
                </c:pt>
                <c:pt idx="2">
                  <c:v>KKR</c:v>
                </c:pt>
                <c:pt idx="3">
                  <c:v>SRH</c:v>
                </c:pt>
                <c:pt idx="4">
                  <c:v>DC</c:v>
                </c:pt>
                <c:pt idx="5">
                  <c:v>LSG</c:v>
                </c:pt>
                <c:pt idx="6">
                  <c:v>CSK</c:v>
                </c:pt>
                <c:pt idx="7">
                  <c:v>MI</c:v>
                </c:pt>
                <c:pt idx="8">
                  <c:v>PBKS</c:v>
                </c:pt>
                <c:pt idx="9">
                  <c:v>RR</c:v>
                </c:pt>
              </c:strCache>
            </c:strRef>
          </c:cat>
          <c:val>
            <c:numRef>
              <c:f>'6'!$B$4:$B$14</c:f>
              <c:numCache>
                <c:formatCode>General</c:formatCode>
                <c:ptCount val="10"/>
                <c:pt idx="0">
                  <c:v>17.48225788841577</c:v>
                </c:pt>
                <c:pt idx="1">
                  <c:v>14.342076261847037</c:v>
                </c:pt>
                <c:pt idx="2">
                  <c:v>13.968051118210866</c:v>
                </c:pt>
                <c:pt idx="3">
                  <c:v>13.79351312819294</c:v>
                </c:pt>
                <c:pt idx="4">
                  <c:v>13.64074617480612</c:v>
                </c:pt>
                <c:pt idx="5">
                  <c:v>13.14441472947953</c:v>
                </c:pt>
                <c:pt idx="6">
                  <c:v>12.391304347826088</c:v>
                </c:pt>
                <c:pt idx="7">
                  <c:v>12.119706136560072</c:v>
                </c:pt>
                <c:pt idx="8">
                  <c:v>12.061933534743204</c:v>
                </c:pt>
                <c:pt idx="9">
                  <c:v>11.646086879275117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874-4C80-BC6A-5F50DD09A904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upDownBars>
          <c:gapWidth val="150"/>
          <c:upBars>
            <c:spPr>
              <a:solidFill>
                <a:schemeClr val="lt1"/>
              </a:solidFill>
              <a:ln w="9525">
                <a:solidFill>
                  <a:schemeClr val="tx1">
                    <a:lumMod val="65000"/>
                    <a:lumOff val="35000"/>
                  </a:schemeClr>
                </a:solidFill>
              </a:ln>
              <a:effectLst/>
            </c:spPr>
          </c:upBars>
          <c:downBars>
            <c:spPr>
              <a:solidFill>
                <a:schemeClr val="dk1">
                  <a:lumMod val="75000"/>
                  <a:lumOff val="25000"/>
                </a:schemeClr>
              </a:solidFill>
              <a:ln w="9525">
                <a:solidFill>
                  <a:schemeClr val="tx1">
                    <a:lumMod val="15000"/>
                    <a:lumOff val="85000"/>
                  </a:schemeClr>
                </a:solidFill>
              </a:ln>
              <a:effectLst/>
            </c:spPr>
          </c:downBars>
        </c:upDownBars>
        <c:marker val="1"/>
        <c:smooth val="0"/>
        <c:axId val="315104080"/>
        <c:axId val="315099280"/>
      </c:lineChart>
      <c:catAx>
        <c:axId val="3151040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099280"/>
        <c:crosses val="autoZero"/>
        <c:auto val="1"/>
        <c:lblAlgn val="ctr"/>
        <c:lblOffset val="100"/>
        <c:noMultiLvlLbl val="0"/>
      </c:catAx>
      <c:valAx>
        <c:axId val="3150992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510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349479645848516"/>
          <c:y val="0.88594837669747806"/>
          <c:w val="0.12650520354151482"/>
          <c:h val="7.98239044847654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project.xlsx]7!PivotTable4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/>
              <a:t>Player</a:t>
            </a:r>
            <a:r>
              <a:rPr lang="en-US" sz="1400" baseline="0"/>
              <a:t> that</a:t>
            </a:r>
            <a:r>
              <a:rPr lang="en-US" sz="1400"/>
              <a:t> contributed the highest of team runs for their respective teams</a:t>
            </a:r>
          </a:p>
        </c:rich>
      </c:tx>
      <c:layout>
        <c:manualLayout>
          <c:xMode val="edge"/>
          <c:yMode val="edge"/>
          <c:x val="0.30985673958693455"/>
          <c:y val="3.3484872109773556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gradFill rotWithShape="1">
            <a:gsLst>
              <a:gs pos="0">
                <a:schemeClr val="accent1">
                  <a:shade val="51000"/>
                  <a:satMod val="130000"/>
                </a:schemeClr>
              </a:gs>
              <a:gs pos="80000">
                <a:schemeClr val="accent1">
                  <a:shade val="93000"/>
                  <a:satMod val="130000"/>
                </a:schemeClr>
              </a:gs>
              <a:gs pos="100000">
                <a:schemeClr val="accent1">
                  <a:shade val="94000"/>
                  <a:satMod val="135000"/>
                </a:schemeClr>
              </a:gs>
            </a:gsLst>
            <a:lin ang="16200000" scaled="0"/>
          </a:gradFill>
          <a:ln>
            <a:noFill/>
          </a:ln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c:spPr>
        <c:marker>
          <c:symbol val="circle"/>
          <c:size val="6"/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7.7893512051513153E-2"/>
          <c:y val="0.13745709116577751"/>
          <c:w val="0.90885801150637036"/>
          <c:h val="0.29067642485741024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'7'!$B$3</c:f>
              <c:strCache>
                <c:ptCount val="1"/>
                <c:pt idx="0">
                  <c:v>Total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hade val="51000"/>
                    <a:satMod val="130000"/>
                  </a:schemeClr>
                </a:gs>
                <a:gs pos="80000">
                  <a:schemeClr val="accent1">
                    <a:shade val="93000"/>
                    <a:satMod val="130000"/>
                  </a:schemeClr>
                </a:gs>
                <a:gs pos="100000">
                  <a:schemeClr val="accent1">
                    <a:shade val="94000"/>
                    <a:satMod val="135000"/>
                  </a:schemeClr>
                </a:gs>
              </a:gsLst>
              <a:lin ang="16200000" scaled="0"/>
            </a:gradFill>
            <a:ln>
              <a:noFill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  <a:scene3d>
              <a:camera prst="orthographicFront">
                <a:rot lat="0" lon="0" rev="0"/>
              </a:camera>
              <a:lightRig rig="threePt" dir="t">
                <a:rot lat="0" lon="0" rev="1200000"/>
              </a:lightRig>
            </a:scene3d>
            <a:sp3d>
              <a:bevelT w="63500" h="25400"/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f>'7'!$A$4:$A$28</c:f>
              <c:multiLvlStrCache>
                <c:ptCount val="14"/>
                <c:lvl>
                  <c:pt idx="0">
                    <c:v>Matheesha Pathirana (R310)</c:v>
                  </c:pt>
                  <c:pt idx="1">
                    <c:v>MS Dhoni (R464)</c:v>
                  </c:pt>
                  <c:pt idx="2">
                    <c:v>Rachin Ravindra (R263)</c:v>
                  </c:pt>
                  <c:pt idx="3">
                    <c:v>David Warner (R186)</c:v>
                  </c:pt>
                  <c:pt idx="4">
                    <c:v>Ricky Bhui</c:v>
                  </c:pt>
                  <c:pt idx="5">
                    <c:v>Sai Kishore (R468)</c:v>
                  </c:pt>
                  <c:pt idx="6">
                    <c:v>Phil Salt (R448)</c:v>
                  </c:pt>
                  <c:pt idx="7">
                    <c:v>Ayush Badoni (R474)</c:v>
                  </c:pt>
                  <c:pt idx="8">
                    <c:v>Suryakumar Yadav (R307)</c:v>
                  </c:pt>
                  <c:pt idx="9">
                    <c:v>Kagiso Rabada</c:v>
                  </c:pt>
                  <c:pt idx="10">
                    <c:v>Mahipal Lomror</c:v>
                  </c:pt>
                  <c:pt idx="11">
                    <c:v>Mohammed Siraj (R375)</c:v>
                  </c:pt>
                  <c:pt idx="12">
                    <c:v>Kuldeep Sen (R484)</c:v>
                  </c:pt>
                  <c:pt idx="13">
                    <c:v>Aiden Markram (R255)</c:v>
                  </c:pt>
                </c:lvl>
                <c:lvl>
                  <c:pt idx="0">
                    <c:v>CSK</c:v>
                  </c:pt>
                  <c:pt idx="3">
                    <c:v>DC</c:v>
                  </c:pt>
                  <c:pt idx="5">
                    <c:v>GT</c:v>
                  </c:pt>
                  <c:pt idx="6">
                    <c:v>KKR</c:v>
                  </c:pt>
                  <c:pt idx="7">
                    <c:v>LSG</c:v>
                  </c:pt>
                  <c:pt idx="8">
                    <c:v>MI</c:v>
                  </c:pt>
                  <c:pt idx="9">
                    <c:v>PBKS</c:v>
                  </c:pt>
                  <c:pt idx="10">
                    <c:v>RCB</c:v>
                  </c:pt>
                  <c:pt idx="12">
                    <c:v>RR</c:v>
                  </c:pt>
                  <c:pt idx="13">
                    <c:v>SRH</c:v>
                  </c:pt>
                </c:lvl>
              </c:multiLvlStrCache>
            </c:multiLvlStrRef>
          </c:cat>
          <c:val>
            <c:numRef>
              <c:f>'7'!$B$4:$B$28</c:f>
              <c:numCache>
                <c:formatCode>General</c:formatCode>
                <c:ptCount val="14"/>
                <c:pt idx="0">
                  <c:v>636</c:v>
                </c:pt>
                <c:pt idx="1">
                  <c:v>636</c:v>
                </c:pt>
                <c:pt idx="2">
                  <c:v>636</c:v>
                </c:pt>
                <c:pt idx="3">
                  <c:v>687</c:v>
                </c:pt>
                <c:pt idx="4">
                  <c:v>687</c:v>
                </c:pt>
                <c:pt idx="5">
                  <c:v>596</c:v>
                </c:pt>
                <c:pt idx="6">
                  <c:v>745</c:v>
                </c:pt>
                <c:pt idx="7">
                  <c:v>580</c:v>
                </c:pt>
                <c:pt idx="8">
                  <c:v>596</c:v>
                </c:pt>
                <c:pt idx="9">
                  <c:v>745</c:v>
                </c:pt>
                <c:pt idx="10">
                  <c:v>645</c:v>
                </c:pt>
                <c:pt idx="11">
                  <c:v>645</c:v>
                </c:pt>
                <c:pt idx="12">
                  <c:v>636</c:v>
                </c:pt>
                <c:pt idx="13">
                  <c:v>687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8D-4FE1-9014-1CF7D0A0C683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812362928"/>
        <c:axId val="812359568"/>
        <c:axId val="0"/>
      </c:bar3DChart>
      <c:catAx>
        <c:axId val="8123629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359568"/>
        <c:crosses val="autoZero"/>
        <c:auto val="1"/>
        <c:lblAlgn val="ctr"/>
        <c:lblOffset val="100"/>
        <c:noMultiLvlLbl val="0"/>
      </c:catAx>
      <c:valAx>
        <c:axId val="81235956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123629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project.xlsx]8!PivotTable6</c:name>
    <c:fmtId val="1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/>
              <a:t>Teams That showed the most consistent performance throughout the tournament based on match-by-match results</a:t>
            </a:r>
          </a:p>
        </c:rich>
      </c:tx>
      <c:layout>
        <c:manualLayout>
          <c:xMode val="edge"/>
          <c:yMode val="edge"/>
          <c:x val="0.19290281022564487"/>
          <c:y val="2.16096487081481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5.3396690798265603E-2"/>
          <c:y val="0.21703560639825681"/>
          <c:w val="0.81021715234313663"/>
          <c:h val="0.58297699923015622"/>
        </c:manualLayout>
      </c:layout>
      <c:lineChart>
        <c:grouping val="stacked"/>
        <c:varyColors val="0"/>
        <c:ser>
          <c:idx val="0"/>
          <c:order val="0"/>
          <c:tx>
            <c:strRef>
              <c:f>'8'!$B$3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'8'!$A$4:$A$14</c:f>
              <c:strCache>
                <c:ptCount val="10"/>
                <c:pt idx="0">
                  <c:v>LSG</c:v>
                </c:pt>
                <c:pt idx="1">
                  <c:v>CSK</c:v>
                </c:pt>
                <c:pt idx="2">
                  <c:v>PBKS</c:v>
                </c:pt>
                <c:pt idx="3">
                  <c:v>KKR</c:v>
                </c:pt>
                <c:pt idx="4">
                  <c:v>GT</c:v>
                </c:pt>
                <c:pt idx="5">
                  <c:v>SRH</c:v>
                </c:pt>
                <c:pt idx="6">
                  <c:v>RCB</c:v>
                </c:pt>
                <c:pt idx="7">
                  <c:v>MI</c:v>
                </c:pt>
                <c:pt idx="8">
                  <c:v>RR</c:v>
                </c:pt>
                <c:pt idx="9">
                  <c:v>DC</c:v>
                </c:pt>
              </c:strCache>
            </c:strRef>
          </c:cat>
          <c:val>
            <c:numRef>
              <c:f>'8'!$B$4:$B$14</c:f>
              <c:numCache>
                <c:formatCode>General</c:formatCode>
                <c:ptCount val="10"/>
                <c:pt idx="0">
                  <c:v>0.69230769230769229</c:v>
                </c:pt>
                <c:pt idx="1">
                  <c:v>0.6875</c:v>
                </c:pt>
                <c:pt idx="2">
                  <c:v>0.66666666666666663</c:v>
                </c:pt>
                <c:pt idx="3">
                  <c:v>0.5625</c:v>
                </c:pt>
                <c:pt idx="4">
                  <c:v>0.5</c:v>
                </c:pt>
                <c:pt idx="5">
                  <c:v>0.5</c:v>
                </c:pt>
                <c:pt idx="6">
                  <c:v>0.4375</c:v>
                </c:pt>
                <c:pt idx="7">
                  <c:v>0.4</c:v>
                </c:pt>
                <c:pt idx="8">
                  <c:v>0.33333333333333331</c:v>
                </c:pt>
                <c:pt idx="9">
                  <c:v>0.21428571428571427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EBB-48B5-B567-A5543F75CD0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743855568"/>
        <c:axId val="724522800"/>
      </c:lineChart>
      <c:catAx>
        <c:axId val="743855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4522800"/>
        <c:crosses val="autoZero"/>
        <c:auto val="1"/>
        <c:lblAlgn val="ctr"/>
        <c:lblOffset val="100"/>
        <c:noMultiLvlLbl val="0"/>
      </c:catAx>
      <c:valAx>
        <c:axId val="72452280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38555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[excel project.xlsx]9!PivotTable1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600"/>
              <a:t>Batsmen hit the highest number of boundaries </a:t>
            </a:r>
          </a:p>
          <a:p>
            <a:pPr>
              <a:defRPr/>
            </a:pPr>
            <a:r>
              <a:rPr lang="en-IN" sz="1600"/>
              <a:t>while maintaining strong batting averages?</a:t>
            </a:r>
          </a:p>
        </c:rich>
      </c:tx>
      <c:layout>
        <c:manualLayout>
          <c:xMode val="edge"/>
          <c:yMode val="edge"/>
          <c:x val="0.42992714025500911"/>
          <c:y val="1.749781277340332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>
        <c:manualLayout>
          <c:layoutTarget val="inner"/>
          <c:xMode val="edge"/>
          <c:yMode val="edge"/>
          <c:x val="9.7469988382599709E-2"/>
          <c:y val="0.15175707203266259"/>
          <c:w val="0.77395622678312748"/>
          <c:h val="0.4267231700204141"/>
        </c:manualLayout>
      </c:layout>
      <c:bar3DChart>
        <c:barDir val="col"/>
        <c:grouping val="clustered"/>
        <c:varyColors val="0"/>
        <c:ser>
          <c:idx val="0"/>
          <c:order val="0"/>
          <c:tx>
            <c:strRef>
              <c:f>'9'!$B$3</c:f>
              <c:strCache>
                <c:ptCount val="1"/>
                <c:pt idx="0">
                  <c:v>Sum of Batting_Average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'9'!$A$4:$A$17</c:f>
              <c:strCache>
                <c:ptCount val="13"/>
                <c:pt idx="0">
                  <c:v>Mohammed Siraj (R375)</c:v>
                </c:pt>
                <c:pt idx="1">
                  <c:v>Ishant Sharma (R463)</c:v>
                </c:pt>
                <c:pt idx="2">
                  <c:v>Mahipal Lomror</c:v>
                </c:pt>
                <c:pt idx="3">
                  <c:v>Shreyas Iyer (R252)</c:v>
                </c:pt>
                <c:pt idx="4">
                  <c:v>Suryakumar Yadav (R307)</c:v>
                </c:pt>
                <c:pt idx="5">
                  <c:v>Varun Chakravarthy</c:v>
                </c:pt>
                <c:pt idx="6">
                  <c:v>Shardul Thakur (R379)</c:v>
                </c:pt>
                <c:pt idx="7">
                  <c:v>Sai Kishore (R468)</c:v>
                </c:pt>
                <c:pt idx="8">
                  <c:v>Ishant Sharma</c:v>
                </c:pt>
                <c:pt idx="9">
                  <c:v>Shubman Gill (R344)</c:v>
                </c:pt>
                <c:pt idx="10">
                  <c:v>Heinrich Klaasen (R195)</c:v>
                </c:pt>
                <c:pt idx="11">
                  <c:v>Quinton de Kock</c:v>
                </c:pt>
                <c:pt idx="12">
                  <c:v>Mark Wood</c:v>
                </c:pt>
              </c:strCache>
            </c:strRef>
          </c:cat>
          <c:val>
            <c:numRef>
              <c:f>'9'!$B$4:$B$17</c:f>
              <c:numCache>
                <c:formatCode>General</c:formatCode>
                <c:ptCount val="13"/>
                <c:pt idx="0">
                  <c:v>53.75</c:v>
                </c:pt>
                <c:pt idx="1">
                  <c:v>53.75</c:v>
                </c:pt>
                <c:pt idx="2">
                  <c:v>53.75</c:v>
                </c:pt>
                <c:pt idx="3">
                  <c:v>53.75</c:v>
                </c:pt>
                <c:pt idx="4">
                  <c:v>54.18</c:v>
                </c:pt>
                <c:pt idx="5">
                  <c:v>54.18</c:v>
                </c:pt>
                <c:pt idx="6">
                  <c:v>54.18</c:v>
                </c:pt>
                <c:pt idx="7">
                  <c:v>54.18</c:v>
                </c:pt>
                <c:pt idx="8">
                  <c:v>54.89</c:v>
                </c:pt>
                <c:pt idx="9">
                  <c:v>54.43</c:v>
                </c:pt>
                <c:pt idx="10">
                  <c:v>54.43</c:v>
                </c:pt>
                <c:pt idx="11">
                  <c:v>54.43</c:v>
                </c:pt>
                <c:pt idx="12">
                  <c:v>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395-4F50-B1FB-EF87F9EBB620}"/>
            </c:ext>
          </c:extLst>
        </c:ser>
        <c:ser>
          <c:idx val="1"/>
          <c:order val="1"/>
          <c:tx>
            <c:strRef>
              <c:f>'9'!$C$3</c:f>
              <c:strCache>
                <c:ptCount val="1"/>
                <c:pt idx="0">
                  <c:v>Max of Total boundaries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'9'!$A$4:$A$17</c:f>
              <c:strCache>
                <c:ptCount val="13"/>
                <c:pt idx="0">
                  <c:v>Mohammed Siraj (R375)</c:v>
                </c:pt>
                <c:pt idx="1">
                  <c:v>Ishant Sharma (R463)</c:v>
                </c:pt>
                <c:pt idx="2">
                  <c:v>Mahipal Lomror</c:v>
                </c:pt>
                <c:pt idx="3">
                  <c:v>Shreyas Iyer (R252)</c:v>
                </c:pt>
                <c:pt idx="4">
                  <c:v>Suryakumar Yadav (R307)</c:v>
                </c:pt>
                <c:pt idx="5">
                  <c:v>Varun Chakravarthy</c:v>
                </c:pt>
                <c:pt idx="6">
                  <c:v>Shardul Thakur (R379)</c:v>
                </c:pt>
                <c:pt idx="7">
                  <c:v>Sai Kishore (R468)</c:v>
                </c:pt>
                <c:pt idx="8">
                  <c:v>Ishant Sharma</c:v>
                </c:pt>
                <c:pt idx="9">
                  <c:v>Shubman Gill (R344)</c:v>
                </c:pt>
                <c:pt idx="10">
                  <c:v>Heinrich Klaasen (R195)</c:v>
                </c:pt>
                <c:pt idx="11">
                  <c:v>Quinton de Kock</c:v>
                </c:pt>
                <c:pt idx="12">
                  <c:v>Mark Wood</c:v>
                </c:pt>
              </c:strCache>
            </c:strRef>
          </c:cat>
          <c:val>
            <c:numRef>
              <c:f>'9'!$C$4:$C$17</c:f>
              <c:numCache>
                <c:formatCode>General</c:formatCode>
                <c:ptCount val="13"/>
                <c:pt idx="0">
                  <c:v>133</c:v>
                </c:pt>
                <c:pt idx="1">
                  <c:v>133</c:v>
                </c:pt>
                <c:pt idx="2">
                  <c:v>133</c:v>
                </c:pt>
                <c:pt idx="3">
                  <c:v>133</c:v>
                </c:pt>
                <c:pt idx="4">
                  <c:v>106</c:v>
                </c:pt>
                <c:pt idx="5">
                  <c:v>106</c:v>
                </c:pt>
                <c:pt idx="6">
                  <c:v>106</c:v>
                </c:pt>
                <c:pt idx="7">
                  <c:v>106</c:v>
                </c:pt>
                <c:pt idx="8">
                  <c:v>97</c:v>
                </c:pt>
                <c:pt idx="9">
                  <c:v>78</c:v>
                </c:pt>
                <c:pt idx="10">
                  <c:v>78</c:v>
                </c:pt>
                <c:pt idx="11">
                  <c:v>78</c:v>
                </c:pt>
                <c:pt idx="12">
                  <c:v>69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395-4F50-B1FB-EF87F9EBB62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525747008"/>
        <c:axId val="525747488"/>
        <c:axId val="0"/>
      </c:bar3DChart>
      <c:catAx>
        <c:axId val="5257470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47488"/>
        <c:crosses val="autoZero"/>
        <c:auto val="1"/>
        <c:lblAlgn val="ctr"/>
        <c:lblOffset val="100"/>
        <c:noMultiLvlLbl val="0"/>
      </c:catAx>
      <c:valAx>
        <c:axId val="5257474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57470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313533554207363"/>
          <c:y val="0.38824110527850686"/>
          <c:w val="0.15771768283062979"/>
          <c:h val="0.3438877952755905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34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0">
  <cs:axisTitle>
    <cs:lnRef idx="0"/>
    <cs:fillRef idx="0"/>
    <cs:effectRef idx="0"/>
    <cs:fontRef idx="minor">
      <a:schemeClr val="tx2"/>
    </cs:fontRef>
    <cs:defRPr sz="900" b="1" kern="1200"/>
  </cs:axisTitle>
  <cs:category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2"/>
    </cs:fontRef>
    <cs:defRPr sz="900" kern="1200"/>
  </cs:dataLabel>
  <cs:dataLabelCallout>
    <cs:lnRef idx="0"/>
    <cs:fillRef idx="0"/>
    <cs:effectRef idx="0"/>
    <cs:fontRef idx="minor">
      <a:schemeClr val="dk2">
        <a:lumMod val="7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2"/>
    <cs:fontRef idx="minor">
      <a:schemeClr val="tx2"/>
    </cs:fontRef>
  </cs:dataPoint>
  <cs:dataPoint3D>
    <cs:lnRef idx="0"/>
    <cs:fillRef idx="3">
      <cs:styleClr val="auto"/>
    </cs:fillRef>
    <cs:effectRef idx="2"/>
    <cs:fontRef idx="minor">
      <a:schemeClr val="tx2"/>
    </cs:fontRef>
  </cs:dataPoint3D>
  <cs:dataPointLine>
    <cs:lnRef idx="0">
      <cs:styleClr val="auto"/>
    </cs:lnRef>
    <cs:fillRef idx="3"/>
    <cs:effectRef idx="2"/>
    <cs:fontRef idx="minor">
      <a:schemeClr val="tx2"/>
    </cs:fontRef>
    <cs:spPr>
      <a:ln w="31750" cap="rnd">
        <a:solidFill>
          <a:schemeClr val="phClr"/>
        </a:solidFill>
        <a:round/>
      </a:ln>
    </cs:spPr>
  </cs:dataPointLine>
  <cs:dataPointMarker>
    <cs:lnRef idx="0"/>
    <cs:fillRef idx="3">
      <cs:styleClr val="auto"/>
    </cs:fillRef>
    <cs:effectRef idx="2"/>
    <cs:fontRef idx="minor">
      <a:schemeClr val="tx2"/>
    </cs:fontRef>
    <cs:spPr>
      <a:ln w="12700">
        <a:solidFill>
          <a:schemeClr val="lt2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2"/>
    <cs:fontRef idx="minor">
      <a:schemeClr val="tx2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2"/>
    </cs:fontRef>
    <cs:spPr>
      <a:ln w="9525">
        <a:solidFill>
          <a:schemeClr val="tx2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2"/>
    </cs:fontRef>
    <cs:spPr>
      <a:ln w="9525">
        <a:solidFill>
          <a:schemeClr val="tx2">
            <a:lumMod val="75000"/>
          </a:schemeClr>
        </a:solidFill>
        <a:round/>
      </a:ln>
    </cs:spPr>
  </cs:errorBar>
  <cs:floor>
    <cs:lnRef idx="0"/>
    <cs:fillRef idx="0"/>
    <cs:effectRef idx="0"/>
    <cs:fontRef idx="minor">
      <a:schemeClr val="tx2"/>
    </cs:fontRef>
  </cs:floor>
  <cs:gridlineMajor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2"/>
    </cs:fontRef>
    <cs:spPr>
      <a:ln>
        <a:solidFill>
          <a:schemeClr val="tx2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2"/>
    </cs:fontRef>
    <cs:defRPr sz="900" kern="1200"/>
  </cs:legend>
  <cs:plotArea>
    <cs:lnRef idx="0"/>
    <cs:fillRef idx="0"/>
    <cs:effectRef idx="0"/>
    <cs:fontRef idx="minor">
      <a:schemeClr val="tx2"/>
    </cs:fontRef>
  </cs:plotArea>
  <cs:plotArea3D>
    <cs:lnRef idx="0"/>
    <cs:fillRef idx="0"/>
    <cs:effectRef idx="0"/>
    <cs:fontRef idx="minor">
      <a:schemeClr val="tx2"/>
    </cs:fontRef>
  </cs:plotArea3D>
  <cs:seriesAxis>
    <cs:lnRef idx="0"/>
    <cs:fillRef idx="0"/>
    <cs:effectRef idx="0"/>
    <cs:fontRef idx="minor">
      <a:schemeClr val="tx2"/>
    </cs:fontRef>
    <cs:spPr>
      <a:ln w="9525" cap="flat" cmpd="sng" algn="ctr">
        <a:solidFill>
          <a:schemeClr val="tx2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2"/>
    </cs:fontRef>
    <cs:spPr>
      <a:ln w="9525">
        <a:solidFill>
          <a:schemeClr val="tx2">
            <a:lumMod val="60000"/>
            <a:lumOff val="40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2"/>
    </cs:fontRef>
    <cs:defRPr sz="1600" b="1" kern="1200"/>
  </cs:title>
  <cs:trendline>
    <cs:lnRef idx="0">
      <cs:styleClr val="auto"/>
    </cs:lnRef>
    <cs:fillRef idx="0"/>
    <cs:effectRef idx="0"/>
    <cs:fontRef idx="minor">
      <a:schemeClr val="tx2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2"/>
    </cs:fontRef>
    <cs:defRPr sz="900" kern="1200"/>
  </cs:trendlineLabel>
  <cs:upBar>
    <cs:lnRef idx="0"/>
    <cs:fillRef idx="0"/>
    <cs:effectRef idx="0"/>
    <cs:fontRef idx="minor">
      <a:schemeClr val="tx2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2"/>
    </cs:fontRef>
    <cs:defRPr sz="900" kern="1200"/>
  </cs:valueAxis>
  <cs:wall>
    <cs:lnRef idx="0"/>
    <cs:fillRef idx="0"/>
    <cs:effectRef idx="0"/>
    <cs:fontRef idx="minor">
      <a:schemeClr val="tx2"/>
    </cs:fontRef>
  </cs:wall>
</cs:chartStyle>
</file>

<file path=xl/charts/style14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34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0.xml"/></Relationships>
</file>

<file path=xl/drawings/_rels/drawing1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3.xml"/><Relationship Id="rId2" Type="http://schemas.openxmlformats.org/officeDocument/2006/relationships/chart" Target="../charts/chart12.xml"/><Relationship Id="rId1" Type="http://schemas.openxmlformats.org/officeDocument/2006/relationships/chart" Target="../charts/chart11.xml"/><Relationship Id="rId6" Type="http://schemas.openxmlformats.org/officeDocument/2006/relationships/chart" Target="../charts/chart16.xml"/><Relationship Id="rId5" Type="http://schemas.openxmlformats.org/officeDocument/2006/relationships/chart" Target="../charts/chart15.xml"/><Relationship Id="rId4" Type="http://schemas.openxmlformats.org/officeDocument/2006/relationships/chart" Target="../charts/chart14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9.xml"/><Relationship Id="rId2" Type="http://schemas.openxmlformats.org/officeDocument/2006/relationships/chart" Target="../charts/chart18.xml"/><Relationship Id="rId1" Type="http://schemas.openxmlformats.org/officeDocument/2006/relationships/chart" Target="../charts/chart17.xml"/><Relationship Id="rId4" Type="http://schemas.openxmlformats.org/officeDocument/2006/relationships/chart" Target="../charts/chart2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591207</xdr:colOff>
      <xdr:row>1</xdr:row>
      <xdr:rowOff>419537</xdr:rowOff>
    </xdr:from>
    <xdr:to>
      <xdr:col>20</xdr:col>
      <xdr:colOff>289034</xdr:colOff>
      <xdr:row>15</xdr:row>
      <xdr:rowOff>52552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F2F0BB9-87BE-FB00-05B4-0D5E13A763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91440</xdr:colOff>
      <xdr:row>1</xdr:row>
      <xdr:rowOff>354330</xdr:rowOff>
    </xdr:from>
    <xdr:to>
      <xdr:col>27</xdr:col>
      <xdr:colOff>106680</xdr:colOff>
      <xdr:row>17</xdr:row>
      <xdr:rowOff>167640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75F46FF-EBBC-5F9D-5E7A-6DB74DF212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335280</xdr:colOff>
      <xdr:row>2</xdr:row>
      <xdr:rowOff>22860</xdr:rowOff>
    </xdr:from>
    <xdr:to>
      <xdr:col>11</xdr:col>
      <xdr:colOff>403860</xdr:colOff>
      <xdr:row>20</xdr:row>
      <xdr:rowOff>83820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B80AB49-70FC-4929-8ED1-E6AD4777C8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220980</xdr:colOff>
      <xdr:row>1</xdr:row>
      <xdr:rowOff>285750</xdr:rowOff>
    </xdr:from>
    <xdr:to>
      <xdr:col>11</xdr:col>
      <xdr:colOff>266700</xdr:colOff>
      <xdr:row>14</xdr:row>
      <xdr:rowOff>30480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3F4A79B-81B8-346D-5FC9-64E9E46100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297180</xdr:colOff>
      <xdr:row>1</xdr:row>
      <xdr:rowOff>140970</xdr:rowOff>
    </xdr:from>
    <xdr:to>
      <xdr:col>11</xdr:col>
      <xdr:colOff>327660</xdr:colOff>
      <xdr:row>18</xdr:row>
      <xdr:rowOff>91440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A1BE8042-D9F4-F6D1-E9AA-40794346F5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381000</xdr:colOff>
      <xdr:row>3</xdr:row>
      <xdr:rowOff>10298</xdr:rowOff>
    </xdr:from>
    <xdr:to>
      <xdr:col>15</xdr:col>
      <xdr:colOff>391299</xdr:colOff>
      <xdr:row>15</xdr:row>
      <xdr:rowOff>82378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FBC73D-0263-35AC-B4A1-FA693C2C70A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777240</xdr:colOff>
      <xdr:row>3</xdr:row>
      <xdr:rowOff>15240</xdr:rowOff>
    </xdr:from>
    <xdr:to>
      <xdr:col>16</xdr:col>
      <xdr:colOff>304800</xdr:colOff>
      <xdr:row>28</xdr:row>
      <xdr:rowOff>106680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3FDBCAA-FB6A-E11B-4210-E6E1CBD68B2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472440</xdr:colOff>
      <xdr:row>2</xdr:row>
      <xdr:rowOff>3810</xdr:rowOff>
    </xdr:from>
    <xdr:to>
      <xdr:col>9</xdr:col>
      <xdr:colOff>563880</xdr:colOff>
      <xdr:row>14</xdr:row>
      <xdr:rowOff>30480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4B36D2A-CA8E-AC4B-3B37-5DE50D2F80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381000</xdr:colOff>
      <xdr:row>2</xdr:row>
      <xdr:rowOff>278130</xdr:rowOff>
    </xdr:from>
    <xdr:to>
      <xdr:col>8</xdr:col>
      <xdr:colOff>137160</xdr:colOff>
      <xdr:row>17</xdr:row>
      <xdr:rowOff>140970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DDEF6D2-6734-938C-9EC6-55F5B8745A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320040</xdr:colOff>
      <xdr:row>1</xdr:row>
      <xdr:rowOff>144780</xdr:rowOff>
    </xdr:from>
    <xdr:to>
      <xdr:col>12</xdr:col>
      <xdr:colOff>45720</xdr:colOff>
      <xdr:row>21</xdr:row>
      <xdr:rowOff>15240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E6AC23EF-367E-AB4F-438C-554E1D891E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15240</xdr:colOff>
      <xdr:row>0</xdr:row>
      <xdr:rowOff>0</xdr:rowOff>
    </xdr:from>
    <xdr:to>
      <xdr:col>6</xdr:col>
      <xdr:colOff>289560</xdr:colOff>
      <xdr:row>14</xdr:row>
      <xdr:rowOff>144780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198647A-2080-479D-981E-736C5973A1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14</xdr:row>
      <xdr:rowOff>83820</xdr:rowOff>
    </xdr:from>
    <xdr:to>
      <xdr:col>8</xdr:col>
      <xdr:colOff>579120</xdr:colOff>
      <xdr:row>30</xdr:row>
      <xdr:rowOff>91440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4930E1C3-3333-4663-BE31-0B9E917819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53340</xdr:colOff>
      <xdr:row>0</xdr:row>
      <xdr:rowOff>0</xdr:rowOff>
    </xdr:from>
    <xdr:to>
      <xdr:col>13</xdr:col>
      <xdr:colOff>30480</xdr:colOff>
      <xdr:row>14</xdr:row>
      <xdr:rowOff>99060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E4DF7B4-8000-446E-9063-EE822C4C77D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579120</xdr:colOff>
      <xdr:row>14</xdr:row>
      <xdr:rowOff>114300</xdr:rowOff>
    </xdr:from>
    <xdr:to>
      <xdr:col>15</xdr:col>
      <xdr:colOff>152400</xdr:colOff>
      <xdr:row>30</xdr:row>
      <xdr:rowOff>106680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6392644F-099E-4ED6-A8A2-8DAF8D731DA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7620</xdr:colOff>
      <xdr:row>0</xdr:row>
      <xdr:rowOff>0</xdr:rowOff>
    </xdr:from>
    <xdr:to>
      <xdr:col>23</xdr:col>
      <xdr:colOff>129540</xdr:colOff>
      <xdr:row>15</xdr:row>
      <xdr:rowOff>175260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D884A430-485B-4A2B-97FC-73C446633E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0</xdr:colOff>
      <xdr:row>16</xdr:row>
      <xdr:rowOff>0</xdr:rowOff>
    </xdr:from>
    <xdr:to>
      <xdr:col>23</xdr:col>
      <xdr:colOff>137160</xdr:colOff>
      <xdr:row>30</xdr:row>
      <xdr:rowOff>137160</xdr:rowOff>
    </xdr:to>
    <xdr:graphicFrame macro="">
      <xdr:nvGraphicFramePr>
        <xdr:cNvPr id="12" name="Chart 11">
          <a:extLst>
            <a:ext uri="{FF2B5EF4-FFF2-40B4-BE49-F238E27FC236}">
              <a16:creationId xmlns:a16="http://schemas.microsoft.com/office/drawing/2014/main" id="{B8136291-CABC-4F72-A3B2-08DB77A1CDB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266700</xdr:colOff>
      <xdr:row>15</xdr:row>
      <xdr:rowOff>60960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0E6E13-37D6-4D20-A69F-531A59FF67E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11</xdr:col>
      <xdr:colOff>266700</xdr:colOff>
      <xdr:row>0</xdr:row>
      <xdr:rowOff>1</xdr:rowOff>
    </xdr:from>
    <xdr:to>
      <xdr:col>21</xdr:col>
      <xdr:colOff>396240</xdr:colOff>
      <xdr:row>15</xdr:row>
      <xdr:rowOff>53341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1C89B8C-1EA6-4809-AC3F-5F1B6DBF679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266700</xdr:colOff>
      <xdr:row>15</xdr:row>
      <xdr:rowOff>53340</xdr:rowOff>
    </xdr:from>
    <xdr:to>
      <xdr:col>21</xdr:col>
      <xdr:colOff>411480</xdr:colOff>
      <xdr:row>27</xdr:row>
      <xdr:rowOff>152400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28E6DA89-6C8E-4F0D-99E1-356208E4B59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15</xdr:row>
      <xdr:rowOff>53340</xdr:rowOff>
    </xdr:from>
    <xdr:to>
      <xdr:col>11</xdr:col>
      <xdr:colOff>236220</xdr:colOff>
      <xdr:row>27</xdr:row>
      <xdr:rowOff>167640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CAE2FD32-748A-445D-83C8-EF20F2AC2A5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ni" refreshedDate="46160.429114814811" createdVersion="8" refreshedVersion="8" minRefreshableVersion="3" recordCount="74" xr:uid="{506F53E0-9E7C-42E8-AFF1-EF6AB787FA06}">
  <cacheSource type="worksheet">
    <worksheetSource ref="A1:R75" sheet="IPL 2025 Matches"/>
  </cacheSource>
  <cacheFields count="18">
    <cacheField name="Match_ID" numFmtId="0">
      <sharedItems/>
    </cacheField>
    <cacheField name="Season" numFmtId="0">
      <sharedItems containsSemiMixedTypes="0" containsString="0" containsNumber="1" containsInteger="1" minValue="2025" maxValue="2025"/>
    </cacheField>
    <cacheField name="Match_Date" numFmtId="0">
      <sharedItems/>
    </cacheField>
    <cacheField name="Match_Type" numFmtId="0">
      <sharedItems/>
    </cacheField>
    <cacheField name="Venue" numFmtId="0">
      <sharedItems count="10">
        <s v="Wankhede Stadium, Mumbai"/>
        <s v="M. Chinnaswamy Stadium, Bengaluru"/>
        <s v="Arun Jaitley Stadium, Delhi"/>
        <s v="Narendra Modi Stadium, Ahmedabad"/>
        <s v="Mullanpur New Chandigarh Stadium, Chandigarh"/>
        <s v="BRSABV Ekana Cricket Stadium, Lucknow"/>
        <s v="Eden Gardens, Kolkata"/>
        <s v="MA Chidambaram Stadium, Chennai"/>
        <s v="Rajiv Gandhi Intl. Cricket Stadium, Hyderabad"/>
        <s v="Sawai Mansingh Stadium, Jaipur"/>
      </sharedItems>
    </cacheField>
    <cacheField name="Team_1" numFmtId="0">
      <sharedItems/>
    </cacheField>
    <cacheField name="Team_2" numFmtId="0">
      <sharedItems/>
    </cacheField>
    <cacheField name="score1" numFmtId="1">
      <sharedItems containsSemiMixedTypes="0" containsString="0" containsNumber="1" minValue="131.05000000000001" maxValue="231.04"/>
    </cacheField>
    <cacheField name="Team_1_Score" numFmtId="0">
      <sharedItems/>
    </cacheField>
    <cacheField name="score2" numFmtId="0">
      <sharedItems containsSemiMixedTypes="0" containsString="0" containsNumber="1" containsInteger="1" minValue="112" maxValue="230"/>
    </cacheField>
    <cacheField name="Team_2_Score" numFmtId="0">
      <sharedItems/>
    </cacheField>
    <cacheField name="Toss_Winner" numFmtId="0">
      <sharedItems count="10">
        <s v="Mumbai Indians"/>
        <s v="Royal Challengers Bengaluru"/>
        <s v="Delhi Capitals"/>
        <s v="Gujarat Titans"/>
        <s v="Lucknow Super Giants"/>
        <s v="Punjab Kings"/>
        <s v="Chennai Super Kings"/>
        <s v="Sunrisers Hyderabad"/>
        <s v="Rajasthan Royals"/>
        <s v="Kolkata Knight Riders"/>
      </sharedItems>
    </cacheField>
    <cacheField name="Toss_Decision" numFmtId="0">
      <sharedItems/>
    </cacheField>
    <cacheField name="Winning_Team" numFmtId="0">
      <sharedItems/>
    </cacheField>
    <cacheField name="Losing_Team" numFmtId="0">
      <sharedItems/>
    </cacheField>
    <cacheField name="Win_Margin" numFmtId="0">
      <sharedItems/>
    </cacheField>
    <cacheField name="Man_of_the_Match" numFmtId="0">
      <sharedItems/>
    </cacheField>
    <cacheField name="toss win match win " numFmtId="0">
      <sharedItems containsString="0" containsBlank="1" containsNumber="1" containsInteger="1" minValue="0" maxValue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ni" refreshedDate="46160.429115509258" createdVersion="8" refreshedVersion="8" minRefreshableVersion="3" recordCount="10" xr:uid="{A9593E0F-1B6E-4FF8-8AB2-43538792BBD5}">
  <cacheSource type="worksheet">
    <worksheetSource ref="B4:E14" sheet="1"/>
  </cacheSource>
  <cacheFields count="5">
    <cacheField name="Team" numFmtId="0">
      <sharedItems count="10">
        <s v="Chennai Super Kings"/>
        <s v="Kolkata Knight Riders"/>
        <s v="Lucknow Super Giants"/>
        <s v="Gujarat Titans"/>
        <s v="Punjab Kings"/>
        <s v="Royal Challengers Bengaluru"/>
        <s v="Mumbai Indians"/>
        <s v="Sunrisers Hyderabad"/>
        <s v="Rajasthan Royals"/>
        <s v="Delhi Capitals"/>
      </sharedItems>
    </cacheField>
    <cacheField name="Matches_Played" numFmtId="0">
      <sharedItems containsSemiMixedTypes="0" containsString="0" containsNumber="1" containsInteger="1" minValue="10" maxValue="16"/>
    </cacheField>
    <cacheField name="Wins" numFmtId="0">
      <sharedItems containsSemiMixedTypes="0" containsString="0" containsNumber="1" containsInteger="1" minValue="3" maxValue="11"/>
    </cacheField>
    <cacheField name="NRR" numFmtId="0">
      <sharedItems containsSemiMixedTypes="0" containsString="0" containsNumber="1" minValue="-0.46400000000000002" maxValue="0.76100000000000001"/>
    </cacheField>
    <cacheField name="win_percentage" numFmtId="0" formula="Wins/Matches_Playe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ni" refreshedDate="46175.458901504629" createdVersion="8" refreshedVersion="8" minRefreshableVersion="3" recordCount="10" xr:uid="{8E993997-DFBF-455A-A728-067AEFAF5E96}">
  <cacheSource type="worksheet">
    <worksheetSource ref="A1:L11" sheet="Team Standings"/>
  </cacheSource>
  <cacheFields count="13">
    <cacheField name="Position" numFmtId="0">
      <sharedItems containsSemiMixedTypes="0" containsString="0" containsNumber="1" containsInteger="1" minValue="1" maxValue="10"/>
    </cacheField>
    <cacheField name="Team" numFmtId="0">
      <sharedItems/>
    </cacheField>
    <cacheField name="Abbr" numFmtId="0">
      <sharedItems count="10">
        <s v="CSK"/>
        <s v="KKR"/>
        <s v="LSG"/>
        <s v="GT"/>
        <s v="PBKS"/>
        <s v="RCB"/>
        <s v="MI"/>
        <s v="SRH"/>
        <s v="RR"/>
        <s v="DC"/>
      </sharedItems>
    </cacheField>
    <cacheField name="Matches_Played" numFmtId="0">
      <sharedItems containsSemiMixedTypes="0" containsString="0" containsNumber="1" containsInteger="1" minValue="10" maxValue="16"/>
    </cacheField>
    <cacheField name="Wins" numFmtId="0">
      <sharedItems containsSemiMixedTypes="0" containsString="0" containsNumber="1" containsInteger="1" minValue="3" maxValue="11"/>
    </cacheField>
    <cacheField name="Losses" numFmtId="0">
      <sharedItems containsSemiMixedTypes="0" containsString="0" containsNumber="1" containsInteger="1" minValue="4" maxValue="11"/>
    </cacheField>
    <cacheField name="Points" numFmtId="0">
      <sharedItems containsSemiMixedTypes="0" containsString="0" containsNumber="1" containsInteger="1" minValue="6" maxValue="22"/>
    </cacheField>
    <cacheField name="NRR" numFmtId="0">
      <sharedItems containsSemiMixedTypes="0" containsString="0" containsNumber="1" minValue="-0.46400000000000002" maxValue="0.76100000000000001"/>
    </cacheField>
    <cacheField name="Playoffs_Qualified" numFmtId="0">
      <sharedItems/>
    </cacheField>
    <cacheField name="IPL_2025_Result" numFmtId="0">
      <sharedItems/>
    </cacheField>
    <cacheField name="All_Time_IPL_Titles" numFmtId="0">
      <sharedItems containsSemiMixedTypes="0" containsString="0" containsNumber="1" containsInteger="1" minValue="0" maxValue="5"/>
    </cacheField>
    <cacheField name="Title_Years" numFmtId="0">
      <sharedItems/>
    </cacheField>
    <cacheField name="," numFmtId="0" formula="Wins/Matches_Playe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saini" refreshedDate="46187.499465856483" createdVersion="8" refreshedVersion="8" minRefreshableVersion="3" recordCount="500" xr:uid="{E8C8E1C6-9BCB-44FE-9E90-6AB613C836FC}">
  <cacheSource type="worksheet">
    <worksheetSource ref="A1:AH501" sheet="Player Performance"/>
  </cacheSource>
  <cacheFields count="36">
    <cacheField name="Player_ID" numFmtId="0">
      <sharedItems/>
    </cacheField>
    <cacheField name="Player_Name" numFmtId="0">
      <sharedItems count="498">
        <s v="Rohit Sharma"/>
        <s v="Suryakumar Yadav"/>
        <s v="Hardik Pandya"/>
        <s v="Jasprit Bumrah"/>
        <s v="Ishan Kishan"/>
        <s v="Tim David"/>
        <s v="Naman Dhir"/>
        <s v="Tilak Varma"/>
        <s v="Romario Shepherd"/>
        <s v="Nuwan Thushara"/>
        <s v="Dewald Brevis"/>
        <s v="Vishnu Vinod"/>
        <s v="Karn Sharma"/>
        <s v="Akash Madhwal"/>
        <s v="Mohammad Nabi"/>
        <s v="MS Dhoni"/>
        <s v="Ruturaj Gaikwad"/>
        <s v="Ravindra Jadeja"/>
        <s v="Devon Conway"/>
        <s v="Deepak Chahar"/>
        <s v="Shivam Dube"/>
        <s v="Moeen Ali"/>
        <s v="Matheesha Pathirana"/>
        <s v="Ajinkya Rahane"/>
        <s v="Tushar Deshpande"/>
        <s v="Rachin Ravindra"/>
        <s v="Daryl Mitchell"/>
        <s v="Shardul Thakur"/>
        <s v="Mitchell Santner"/>
        <s v="Prashant Solanki"/>
        <s v="Virat Kohli"/>
        <s v="Faf du Plessis"/>
        <s v="Glenn Maxwell"/>
        <s v="Mohammed Siraj"/>
        <s v="Dinesh Karthik"/>
        <s v="Rajat Patidar"/>
        <s v="Cameron Green"/>
        <s v="Alzarri Joseph"/>
        <s v="Will Jacks"/>
        <s v="Yash Dayal"/>
        <s v="Suyash Prabhudessai"/>
        <s v="Akash Deep"/>
        <s v="Mahipal Lomror"/>
        <s v="Reece Topley"/>
        <s v="Rajan Kumar"/>
        <s v="Shreyas Iyer"/>
        <s v="Andre Russell"/>
        <s v="Sunil Narine"/>
        <s v="Pat Cummins"/>
        <s v="Phil Salt"/>
        <s v="Rinku Singh"/>
        <s v="Venkatesh Iyer"/>
        <s v="Varun Chakravarthy"/>
        <s v="Angkrish Raghuvanshi"/>
        <s v="Manish Pandey"/>
        <s v="Harshit Rana"/>
        <s v="Mitchell Starc"/>
        <s v="Rahmanullah Gurbaz"/>
        <s v="Spencer Johnson"/>
        <s v="Nitish Rana"/>
        <s v="David Warner"/>
        <s v="Rishabh Pant"/>
        <s v="Axar Patel"/>
        <s v="Kuldeep Yadav"/>
        <s v="Prithvi Shaw"/>
        <s v="Anrich Nortje"/>
        <s v="Jake Fraser-McGurk"/>
        <s v="Ricky Bhui"/>
        <s v="Ishant Sharma"/>
        <s v="Khaleel Ahmed"/>
        <s v="Shai Hope"/>
        <s v="Tristan Stubbs"/>
        <s v="Mukesh Kumar"/>
        <s v="Lalit Yadav"/>
        <s v="Jhye Richardson"/>
        <s v="Shikhar Dhawan"/>
        <s v="Sam Curran"/>
        <s v="Liam Livingstone"/>
        <s v="Jonny Bairstow"/>
        <s v="Arshdeep Singh"/>
        <s v="Kagiso Rabada"/>
        <s v="Jitesh Sharma"/>
        <s v="Harpreet Brar"/>
        <s v="Sikandar Raza"/>
        <s v="Rilee Rossouw"/>
        <s v="Prabhsimran Singh"/>
        <s v="Tanveer Sangha"/>
        <s v="Shashank Singh"/>
        <s v="Nathan Ellis"/>
        <s v="Atharva Taide"/>
        <s v="Sanju Samson"/>
        <s v="Jos Buttler"/>
        <s v="Yashasvi Jaiswal"/>
        <s v="Ravichandran Ashwin"/>
        <s v="Trent Boult"/>
        <s v="Shimron Hetmyer"/>
        <s v="Yuzvendra Chahal"/>
        <s v="Devdutt Padikkal"/>
        <s v="Joe Root"/>
        <s v="Kuldeep Sen"/>
        <s v="Dhruv Jurel"/>
        <s v="Rovman Powell"/>
        <s v="Adam Zampa"/>
        <s v="Riyan Parag"/>
        <s v="Sandeep Sharma"/>
        <s v="Travis Head"/>
        <s v="Heinrich Klaasen"/>
        <s v="Abhishek Sharma"/>
        <s v="Bhuvneshwar Kumar"/>
        <s v="T Natarajan"/>
        <s v="Washington Sundar"/>
        <s v="Glenn Phillips"/>
        <s v="Marco Jansen"/>
        <s v="Aiden Markram"/>
        <s v="Mayank Agarwal"/>
        <s v="Wanindu Hasaranga"/>
        <s v="Jaydev Unadkat"/>
        <s v="Nitish Reddy"/>
        <s v="Shahbaz Ahmed"/>
        <s v="KL Rahul"/>
        <s v="Nicholas Pooran"/>
        <s v="Marcus Stoinis"/>
        <s v="Ravi Bishnoi"/>
        <s v="Mark Wood"/>
        <s v="Quinton de Kock"/>
        <s v="Avesh Khan"/>
        <s v="Deepak Hooda"/>
        <s v="Jason Holder"/>
        <s v="Mohsin Khan"/>
        <s v="Ayush Badoni"/>
        <s v="Kyle Mayers"/>
        <s v="Krunal Pandya"/>
        <s v="Amit Mishra"/>
        <s v="Prerak Mankad"/>
        <s v="Shubman Gill"/>
        <s v="Mohammed Shami"/>
        <s v="Rashid Khan"/>
        <s v="David Miller"/>
        <s v="B Sai Sudharsan"/>
        <s v="Kane Williamson"/>
        <s v="Wriddhiman Saha"/>
        <s v="Darshan Nalkande"/>
        <s v="Vijay Shankar"/>
        <s v="Azmatullah Omarzai"/>
        <s v="Noor Ahmad"/>
        <s v="Sai Kishore"/>
        <s v="Joshua Little"/>
        <s v="Abhinav Manohar"/>
        <s v="Yuzvendra Chahal (R151)"/>
        <s v="Sunil Narine (R152)"/>
        <s v="Shubman Gill (R153)"/>
        <s v="Arshdeep Singh (R154)"/>
        <s v="Lalit Yadav (R155)"/>
        <s v="Sikandar Raza (R156)"/>
        <s v="Matheesha Pathirana (R157)"/>
        <s v="Joshua Little (R158)"/>
        <s v="Mohammed Siraj (R159)"/>
        <s v="Kyle Mayers (R160)"/>
        <s v="Shardul Thakur (R161)"/>
        <s v="Sikandar Raza (R162)"/>
        <s v="T Natarajan (R163)"/>
        <s v="Khaleel Ahmed (R164)"/>
        <s v="Pat Cummins (R165)"/>
        <s v="Lalit Yadav (R166)"/>
        <s v="Angkrish Raghuvanshi (R167)"/>
        <s v="Azmatullah Omarzai (R168)"/>
        <s v="Angkrish Raghuvanshi (R169)"/>
        <s v="Yashasvi Jaiswal (R170)"/>
        <s v="Abhishek Sharma (R171)"/>
        <s v="Rajat Patidar (R172)"/>
        <s v="Rohit Sharma (R173)"/>
        <s v="Ruturaj Gaikwad (R174)"/>
        <s v="Hardik Pandya (R175)"/>
        <s v="Suyash Prabhudessai (R176)"/>
        <s v="Suryakumar Yadav (R177)"/>
        <s v="Jos Buttler (R178)"/>
        <s v="Pat Cummins (R179)"/>
        <s v="Reece Topley (R180)"/>
        <s v="Pat Cummins (R181)"/>
        <s v="Kuldeep Yadav (R182)"/>
        <s v="Yuzvendra Chahal (R183)"/>
        <s v="Devon Conway (R184)"/>
        <s v="Suryakumar Yadav (R185)"/>
        <s v="David Warner (R186)"/>
        <s v="Sikandar Raza (R187)"/>
        <s v="Marcus Stoinis (R188)"/>
        <s v="Jos Buttler (R189)"/>
        <s v="Prithvi Shaw (R190)"/>
        <s v="Harpreet Brar (R191)"/>
        <s v="David Warner (R192)"/>
        <s v="Mitchell Santner (R193)"/>
        <s v="Arshdeep Singh (R194)"/>
        <s v="Heinrich Klaasen (R195)"/>
        <s v="Mohsin Khan (R196)"/>
        <s v="Daryl Mitchell (R197)"/>
        <s v="Vijay Shankar (R198)"/>
        <s v="Yash Dayal (R199)"/>
        <s v="Abhishek Sharma (R200)"/>
        <s v="Tilak Varma (R201)"/>
        <s v="Ravi Bishnoi (R202)"/>
        <s v="Aiden Markram (R203)"/>
        <s v="Faf du Plessis (R204)"/>
        <s v="Darshan Nalkande (R205)"/>
        <s v="Prashant Solanki (R206)"/>
        <s v="Marcus Stoinis (R207)"/>
        <s v="Naman Dhir (R208)"/>
        <s v="Jos Buttler (R209)"/>
        <s v="Kuldeep Yadav (R210)"/>
        <s v="Ricky Bhui (R211)"/>
        <s v="Nuwan Thushara (R212)"/>
        <s v="Shahbaz Ahmed (R213)"/>
        <s v="Axar Patel (R214)"/>
        <s v="Mitchell Starc (R215)"/>
        <s v="Ravichandran Ashwin (R216)"/>
        <s v="Jaydev Unadkat (R217)"/>
        <s v="Devon Conway (R218)"/>
        <s v="Shai Hope (R219)"/>
        <s v="Quinton de Kock (R220)"/>
        <s v="Rilee Rossouw (R221)"/>
        <s v="Kyle Mayers (R222)"/>
        <s v="David Miller (R223)"/>
        <s v="Jos Buttler (R224)"/>
        <s v="Shivam Dube (R225)"/>
        <s v="Marcus Stoinis (R226)"/>
        <s v="Noor Ahmad (R227)"/>
        <s v="Shimron Hetmyer (R228)"/>
        <s v="Mitchell Starc (R229)"/>
        <s v="T Natarajan (R230)"/>
        <s v="Will Jacks (R231)"/>
        <s v="Devon Conway (R232)"/>
        <s v="Prashant Solanki (R233)"/>
        <s v="Joshua Little (R234)"/>
        <s v="Hardik Pandya (R235)"/>
        <s v="Wriddhiman Saha (R236)"/>
        <s v="Manish Pandey (R237)"/>
        <s v="Sanju Samson (R238)"/>
        <s v="Prashant Solanki (R239)"/>
        <s v="Khaleel Ahmed (R240)"/>
        <s v="Sunil Narine (R241)"/>
        <s v="Mitchell Santner (R242)"/>
        <s v="Naman Dhir (R243)"/>
        <s v="Azmatullah Omarzai (R244)"/>
        <s v="Karn Sharma (R245)"/>
        <s v="Varun Chakravarthy (R246)"/>
        <s v="Mohammed Siraj (R247)"/>
        <s v="Deepak Hooda (R248)"/>
        <s v="Prithvi Shaw (R249)"/>
        <s v="Mohammed Shami (R250)"/>
        <s v="Jake Fraser-McGurk (R251)"/>
        <s v="Shreyas Iyer (R252)"/>
        <s v="Manish Pandey (R253)"/>
        <s v="Rilee Rossouw (R254)"/>
        <s v="Aiden Markram (R255)"/>
        <s v="Adam Zampa (R256)"/>
        <s v="Bhuvneshwar Kumar (R257)"/>
        <s v="Venkatesh Iyer (R258)"/>
        <s v="Wanindu Hasaranga (R259)"/>
        <s v="Atharva Taide (R260)"/>
        <s v="Sanju Samson (R261)"/>
        <s v="Angkrish Raghuvanshi (R262)"/>
        <s v="Rachin Ravindra (R263)"/>
        <s v="Kyle Mayers (R264)"/>
        <s v="Mohammed Shami (R265)"/>
        <s v="Faf du Plessis (R266)"/>
        <s v="Riyan Parag (R267)"/>
        <s v="Marcus Stoinis (R268)"/>
        <s v="Phil Salt (R269)"/>
        <s v="Jake Fraser-McGurk (R270)"/>
        <s v="Bhuvneshwar Kumar (R271)"/>
        <s v="Wriddhiman Saha (R272)"/>
        <s v="Varun Chakravarthy (R273)"/>
        <s v="Rohit Sharma (R274)"/>
        <s v="Prashant Solanki (R275)"/>
        <s v="Heinrich Klaasen (R276)"/>
        <s v="Rashid Khan (R277)"/>
        <s v="Harpreet Brar (R278)"/>
        <s v="Virat Kohli (R279)"/>
        <s v="Avesh Khan (R280)"/>
        <s v="Ricky Bhui (R281)"/>
        <s v="Nuwan Thushara (R282)"/>
        <s v="Akash Madhwal (R283)"/>
        <s v="Mitchell Starc (R284)"/>
        <s v="Shashank Singh (R285)"/>
        <s v="Jonny Bairstow (R286)"/>
        <s v="Darshan Nalkande (R287)"/>
        <s v="Harpreet Brar (R288)"/>
        <s v="Rachin Ravindra (R289)"/>
        <s v="MS Dhoni (R290)"/>
        <s v="Sai Kishore (R291)"/>
        <s v="Shashank Singh (R292)"/>
        <s v="Rilee Rossouw (R293)"/>
        <s v="Cameron Green (R294)"/>
        <s v="Bhuvneshwar Kumar (R295)"/>
        <s v="Shivam Dube (R296)"/>
        <s v="Jasprit Bumrah (R297)"/>
        <s v="Vishnu Vinod (R298)"/>
        <s v="Jos Buttler (R299)"/>
        <s v="Harshit Rana (R300)"/>
        <s v="Sanju Samson (R301)"/>
        <s v="Hardik Pandya (R302)"/>
        <s v="KL Rahul (R303)"/>
        <s v="Glenn Phillips (R304)"/>
        <s v="Naman Dhir (R305)"/>
        <s v="Phil Salt (R306)"/>
        <s v="Suryakumar Yadav (R307)"/>
        <s v="Krunal Pandya (R308)"/>
        <s v="Riyan Parag (R309)"/>
        <s v="Matheesha Pathirana (R310)"/>
        <s v="Ayush Badoni (R311)"/>
        <s v="Shubman Gill (R312)"/>
        <s v="Sunil Narine (R313)"/>
        <s v="Reece Topley (R314)"/>
        <s v="Prabhsimran Singh (R315)"/>
        <s v="Pat Cummins (R316)"/>
        <s v="Kane Williamson (R317)"/>
        <s v="Ricky Bhui (R318)"/>
        <s v="Deepak Chahar (R319)"/>
        <s v="Shikhar Dhawan (R320)"/>
        <s v="Sai Kishore (R321)"/>
        <s v="Dinesh Karthik (R322)"/>
        <s v="Sikandar Raza (R323)"/>
        <s v="Ravichandran Ashwin (R324)"/>
        <s v="Prerak Mankad (R325)"/>
        <s v="Yashasvi Jaiswal (R326)"/>
        <s v="Shai Hope (R327)"/>
        <s v="Shreyas Iyer (R328)"/>
        <s v="Mitchell Starc (R329)"/>
        <s v="Moeen Ali (R330)"/>
        <s v="Pat Cummins (R331)"/>
        <s v="Shardul Thakur (R332)"/>
        <s v="Manish Pandey (R333)"/>
        <s v="Ayush Badoni (R334)"/>
        <s v="Amit Mishra (R335)"/>
        <s v="Moeen Ali (R336)"/>
        <s v="Akash Madhwal (R337)"/>
        <s v="Azmatullah Omarzai (R338)"/>
        <s v="Avesh Khan (R339)"/>
        <s v="Mohsin Khan (R340)"/>
        <s v="Ishant Sharma (R341)"/>
        <s v="T Natarajan (R342)"/>
        <s v="Bhuvneshwar Kumar (R343)"/>
        <s v="Shubman Gill (R344)"/>
        <s v="Rohit Sharma (R345)"/>
        <s v="Nicholas Pooran (R346)"/>
        <s v="Will Jacks (R347)"/>
        <s v="Virat Kohli (R348)"/>
        <s v="Jonny Bairstow (R349)"/>
        <s v="Jonny Bairstow (R350)"/>
        <s v="Deepak Hooda (R351)"/>
        <s v="Sikandar Raza (R352)"/>
        <s v="Jhye Richardson (R353)"/>
        <s v="Rachin Ravindra (R354)"/>
        <s v="Anrich Nortje (R355)"/>
        <s v="Noor Ahmad (R356)"/>
        <s v="Noor Ahmad (R357)"/>
        <s v="Noor Ahmad (R358)"/>
        <s v="Suyash Prabhudessai (R359)"/>
        <s v="Kuldeep Yadav (R360)"/>
        <s v="Shahbaz Ahmed (R361)"/>
        <s v="Akash Madhwal (R362)"/>
        <s v="Mitchell Starc (R363)"/>
        <s v="Sikandar Raza (R364)"/>
        <s v="Jhye Richardson (R365)"/>
        <s v="Kagiso Rabada (R366)"/>
        <s v="Ravichandran Ashwin (R367)"/>
        <s v="Kuldeep Sen (R368)"/>
        <s v="Rajan Kumar (R369)"/>
        <s v="Rajat Patidar (R370)"/>
        <s v="Wriddhiman Saha (R371)"/>
        <s v="Glenn Maxwell (R372)"/>
        <s v="Ravi Bishnoi (R373)"/>
        <s v="Kane Williamson (R374)"/>
        <s v="Mohammed Siraj (R375)"/>
        <s v="Nathan Ellis (R376)"/>
        <s v="Mitchell Starc (R377)"/>
        <s v="Krunal Pandya (R378)"/>
        <s v="Shardul Thakur (R379)"/>
        <s v="Devdutt Padikkal (R380)"/>
        <s v="Pat Cummins (R381)"/>
        <s v="Tristan Stubbs (R382)"/>
        <s v="Shikhar Dhawan (R383)"/>
        <s v="Shubman Gill (R384)"/>
        <s v="Atharva Taide (R385)"/>
        <s v="Pat Cummins (R386)"/>
        <s v="Arshdeep Singh (R387)"/>
        <s v="Akash Madhwal (R388)"/>
        <s v="Atharva Taide (R389)"/>
        <s v="Jhye Richardson (R390)"/>
        <s v="Moeen Ali (R391)"/>
        <s v="Rishabh Pant (R392)"/>
        <s v="Sai Kishore (R393)"/>
        <s v="Mohammed Shami (R394)"/>
        <s v="Shardul Thakur (R395)"/>
        <s v="Andre Russell (R396)"/>
        <s v="Alzarri Joseph (R397)"/>
        <s v="Romario Shepherd (R398)"/>
        <s v="T Natarajan (R399)"/>
        <s v="Matheesha Pathirana (R400)"/>
        <s v="Mohsin Khan (R401)"/>
        <s v="Rashid Khan (R402)"/>
        <s v="Nuwan Thushara (R403)"/>
        <s v="Alzarri Joseph (R404)"/>
        <s v="Rashid Khan (R405)"/>
        <s v="Spencer Johnson (R406)"/>
        <s v="Rashid Khan (R407)"/>
        <s v="Devon Conway (R408)"/>
        <s v="Yuzvendra Chahal (R409)"/>
        <s v="Ravichandran Ashwin (R410)"/>
        <s v="Bhuvneshwar Kumar (R411)"/>
        <s v="Nitish Reddy (R412)"/>
        <s v="Quinton de Kock (R413)"/>
        <s v="Devdutt Padikkal (R414)"/>
        <s v="B Sai Sudharsan (R415)"/>
        <s v="Amit Mishra (R416)"/>
        <s v="Shivam Dube (R417)"/>
        <s v="Mohammed Siraj (R418)"/>
        <s v="Will Jacks (R419)"/>
        <s v="Prashant Solanki (R420)"/>
        <s v="Sandeep Sharma (R421)"/>
        <s v="Shubman Gill (R422)"/>
        <s v="Darshan Nalkande (R423)"/>
        <s v="Varun Chakravarthy (R424)"/>
        <s v="Aiden Markram (R425)"/>
        <s v="Nathan Ellis (R426)"/>
        <s v="Shreyas Iyer (R427)"/>
        <s v="Sunil Narine (R428)"/>
        <s v="Karn Sharma (R429)"/>
        <s v="Prithvi Shaw (R430)"/>
        <s v="Rahmanullah Gurbaz (R431)"/>
        <s v="Rajat Patidar (R432)"/>
        <s v="Rovman Powell (R433)"/>
        <s v="Ravindra Jadeja (R434)"/>
        <s v="Naman Dhir (R435)"/>
        <s v="Vijay Shankar (R436)"/>
        <s v="Wanindu Hasaranga (R437)"/>
        <s v="Shashank Singh (R438)"/>
        <s v="Ravindra Jadeja (R439)"/>
        <s v="Alzarri Joseph (R440)"/>
        <s v="Tilak Varma (R441)"/>
        <s v="Mahipal Lomror (R442)"/>
        <s v="Andre Russell (R443)"/>
        <s v="Devdutt Padikkal (R444)"/>
        <s v="Avesh Khan (R445)"/>
        <s v="Darshan Nalkande (R446)"/>
        <s v="Devon Conway (R447)"/>
        <s v="Phil Salt (R448)"/>
        <s v="Rohit Sharma (R449)"/>
        <s v="Jitesh Sharma (R450)"/>
        <s v="Sam Curran (R451)"/>
        <s v="Avesh Khan (R452)"/>
        <s v="Akash Madhwal (R453)"/>
        <s v="Bhuvneshwar Kumar (R454)"/>
        <s v="Sandeep Sharma (R455)"/>
        <s v="Jitesh Sharma (R456)"/>
        <s v="Trent Boult (R457)"/>
        <s v="Glenn Phillips (R458)"/>
        <s v="Mohsin Khan (R459)"/>
        <s v="Tristan Stubbs (R460)"/>
        <s v="Nitish Rana (R461)"/>
        <s v="Nicholas Pooran (R462)"/>
        <s v="Ishant Sharma (R463)"/>
        <s v="MS Dhoni (R464)"/>
        <s v="Devon Conway (R465)"/>
        <s v="Naman Dhir (R466)"/>
        <s v="Varun Chakravarthy (R467)"/>
        <s v="Sai Kishore (R468)"/>
        <s v="Jhye Richardson (R469)"/>
        <s v="Ravindra Jadeja (R470)"/>
        <s v="Mark Wood (R471)"/>
        <s v="Hardik Pandya (R472)"/>
        <s v="Jasprit Bumrah (R473)"/>
        <s v="Ayush Badoni (R474)"/>
        <s v="David Warner (R475)"/>
        <s v="Riyan Parag (R476)"/>
        <s v="Karn Sharma (R477)"/>
        <s v="Mohsin Khan (R478)"/>
        <s v="Jaydev Unadkat (R479)"/>
        <s v="Abhinav Manohar (R480)"/>
        <s v="Joshua Little (R481)"/>
        <s v="Shardul Thakur (R482)"/>
        <s v="Faf du Plessis (R483)"/>
        <s v="Kuldeep Sen (R484)"/>
        <s v="Shahbaz Ahmed (R485)"/>
        <s v="Heinrich Klaasen (R486)"/>
        <s v="Mitchell Starc (R487)"/>
        <s v="Rovman Powell (R488)"/>
        <s v="Reece Topley (R489)"/>
        <s v="Ravindra Jadeja (R490)"/>
        <s v="Sikandar Raza (R491)"/>
        <s v="Shashank Singh (R492)"/>
        <s v="Suryakumar Yadav (R493)"/>
        <s v="Nuwan Thushara (R494)"/>
        <s v="Akash Deep (R495)"/>
        <s v="Mukesh Kumar (R496)"/>
        <s v="Ricky Bhui (R497)"/>
        <s v="Rishabh Pant (R498)"/>
        <s v="Prashant Solanki (R499)"/>
        <s v="Devon Conway (R500)"/>
      </sharedItems>
    </cacheField>
    <cacheField name="Team" numFmtId="0">
      <sharedItems count="10">
        <s v="Mumbai Indians"/>
        <s v="Chennai Super Kings"/>
        <s v="Royal Challengers Bengaluru"/>
        <s v="Kolkata Knight Riders"/>
        <s v="Delhi Capitals"/>
        <s v="Punjab Kings"/>
        <s v="Rajasthan Royals"/>
        <s v="Sunrisers Hyderabad"/>
        <s v="Lucknow Super Giants"/>
        <s v="Gujarat Titans"/>
      </sharedItems>
    </cacheField>
    <cacheField name="Team_Abbr" numFmtId="0">
      <sharedItems count="10">
        <s v="MI"/>
        <s v="CSK"/>
        <s v="RCB"/>
        <s v="KKR"/>
        <s v="DC"/>
        <s v="PBKS"/>
        <s v="RR"/>
        <s v="SRH"/>
        <s v="LSG"/>
        <s v="GT"/>
      </sharedItems>
    </cacheField>
    <cacheField name="Nationality" numFmtId="0">
      <sharedItems/>
    </cacheField>
    <cacheField name="Role" numFmtId="0">
      <sharedItems count="4">
        <s v="Bowler"/>
        <s v="All-rounder"/>
        <s v="Batsman"/>
        <s v="Wicket-keeper Batsman"/>
      </sharedItems>
    </cacheField>
    <cacheField name="Batting_Style" numFmtId="0">
      <sharedItems/>
    </cacheField>
    <cacheField name="Bowling_Style" numFmtId="0">
      <sharedItems/>
    </cacheField>
    <cacheField name="Matches_Played" numFmtId="0">
      <sharedItems containsSemiMixedTypes="0" containsString="0" containsNumber="1" containsInteger="1" minValue="8" maxValue="14"/>
    </cacheField>
    <cacheField name="Innings_Batted" numFmtId="0">
      <sharedItems containsSemiMixedTypes="0" containsString="0" containsNumber="1" containsInteger="1" minValue="6" maxValue="14"/>
    </cacheField>
    <cacheField name="Not_Outs" numFmtId="0">
      <sharedItems containsSemiMixedTypes="0" containsString="0" containsNumber="1" containsInteger="1" minValue="0" maxValue="3"/>
    </cacheField>
    <cacheField name="Total_Runs" numFmtId="0">
      <sharedItems containsSemiMixedTypes="0" containsString="0" containsNumber="1" containsInteger="1" minValue="21" maxValue="745"/>
    </cacheField>
    <cacheField name="Highest_Score" numFmtId="0">
      <sharedItems containsSemiMixedTypes="0" containsString="0" containsNumber="1" containsInteger="1" minValue="5" maxValue="120"/>
    </cacheField>
    <cacheField name="Batting_Average" numFmtId="0">
      <sharedItems containsSemiMixedTypes="0" containsString="0" containsNumber="1" minValue="2.1" maxValue="54.89"/>
    </cacheField>
    <cacheField name="Strike_Rate" numFmtId="0">
      <sharedItems containsSemiMixedTypes="0" containsString="0" containsNumber="1" minValue="85.67" maxValue="184.54"/>
    </cacheField>
    <cacheField name="Fifties" numFmtId="0">
      <sharedItems containsSemiMixedTypes="0" containsString="0" containsNumber="1" containsInteger="1" minValue="0" maxValue="1"/>
    </cacheField>
    <cacheField name="Hundreds" numFmtId="0">
      <sharedItems containsSemiMixedTypes="0" containsString="0" containsNumber="1" containsInteger="1" minValue="0" maxValue="0"/>
    </cacheField>
    <cacheField name="Fours" numFmtId="0">
      <sharedItems containsSemiMixedTypes="0" containsString="0" containsNumber="1" containsInteger="1" minValue="1" maxValue="99"/>
    </cacheField>
    <cacheField name="Sixes" numFmtId="0">
      <sharedItems containsSemiMixedTypes="0" containsString="0" containsNumber="1" containsInteger="1" minValue="1" maxValue="70"/>
    </cacheField>
    <cacheField name="Ducks" numFmtId="0">
      <sharedItems containsSemiMixedTypes="0" containsString="0" containsNumber="1" containsInteger="1" minValue="0" maxValue="3"/>
    </cacheField>
    <cacheField name="Wickets_Taken" numFmtId="0">
      <sharedItems containsSemiMixedTypes="0" containsString="0" containsNumber="1" containsInteger="1" minValue="0" maxValue="31"/>
    </cacheField>
    <cacheField name="Bowling_Average" numFmtId="0">
      <sharedItems containsMixedTypes="1" containsNumber="1" minValue="14.73" maxValue="34.61"/>
    </cacheField>
    <cacheField name="Economy_Rate" numFmtId="0">
      <sharedItems containsMixedTypes="1" containsNumber="1" minValue="6.55" maxValue="10.43"/>
    </cacheField>
    <cacheField name="Bowling_Strike_Rate" numFmtId="0">
      <sharedItems containsMixedTypes="1" containsNumber="1" minValue="10.07" maxValue="21.64"/>
    </cacheField>
    <cacheField name="Best_Bowling_Figures" numFmtId="0">
      <sharedItems/>
    </cacheField>
    <cacheField name="Four_Wicket_Hauls" numFmtId="0">
      <sharedItems containsSemiMixedTypes="0" containsString="0" containsNumber="1" containsInteger="1" minValue="0" maxValue="1"/>
    </cacheField>
    <cacheField name="Overs_Bowled" numFmtId="0">
      <sharedItems containsSemiMixedTypes="0" containsString="0" containsNumber="1" minValue="0" maxValue="50"/>
    </cacheField>
    <cacheField name="Catches" numFmtId="0">
      <sharedItems containsSemiMixedTypes="0" containsString="0" containsNumber="1" containsInteger="1" minValue="2" maxValue="15"/>
    </cacheField>
    <cacheField name="Stumpings" numFmtId="0">
      <sharedItems containsSemiMixedTypes="0" containsString="0" containsNumber="1" containsInteger="1" minValue="0" maxValue="5"/>
    </cacheField>
    <cacheField name="Last_Match_Opponent" numFmtId="0">
      <sharedItems/>
    </cacheField>
    <cacheField name="Last_Match_Result" numFmtId="0">
      <sharedItems/>
    </cacheField>
    <cacheField name="Last_Match_ID" numFmtId="0">
      <sharedItems/>
    </cacheField>
    <cacheField name="Player_of_the_Match" numFmtId="0">
      <sharedItems/>
    </cacheField>
    <cacheField name="Auction_Price_Cr" numFmtId="0">
      <sharedItems containsSemiMixedTypes="0" containsString="0" containsNumber="1" minValue="0.2" maxValue="21"/>
    </cacheField>
    <cacheField name="Total boundaries" numFmtId="0" formula="Fours+Sixes" databaseField="0"/>
    <cacheField name="rr" numFmtId="0" formula="Total_Runs/Overs_Bowled" databaseField="0"/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4">
  <r>
    <s v="IPL25-M001"/>
    <n v="2025"/>
    <s v="22-Mar-2025"/>
    <s v="League Stage"/>
    <x v="0"/>
    <s v="Mumbai Indians"/>
    <s v="Chennai Super Kings"/>
    <n v="152"/>
    <s v="152/6 (17.6 ov)"/>
    <n v="204"/>
    <s v="204/6 (17.5 ov)"/>
    <x v="0"/>
    <s v="Bat"/>
    <s v="Mumbai Indians"/>
    <s v="Chennai Super Kings"/>
    <s v="9 wickets"/>
    <s v="Karn Sharma"/>
    <n v="1"/>
  </r>
  <r>
    <s v="IPL25-M002"/>
    <n v="2025"/>
    <s v="23-Mar-2025"/>
    <s v="League Stage"/>
    <x v="0"/>
    <s v="Mumbai Indians"/>
    <s v="Gujarat Titans"/>
    <n v="152"/>
    <s v="152/7 (15.4 ov)"/>
    <n v="162"/>
    <s v="162/4 (17.3 ov)"/>
    <x v="0"/>
    <s v="Field"/>
    <s v="Mumbai Indians"/>
    <s v="Gujarat Titans"/>
    <s v="2 wickets"/>
    <s v="Nuwan Thushara"/>
    <n v="1"/>
  </r>
  <r>
    <s v="IPL25-M003"/>
    <n v="2025"/>
    <s v="24-Mar-2025"/>
    <s v="League Stage"/>
    <x v="1"/>
    <s v="Royal Challengers Bengaluru"/>
    <s v="Punjab Kings"/>
    <n v="139"/>
    <s v="139/3 (18.1 ov)"/>
    <n v="112"/>
    <s v="112/7 (18.3 ov)"/>
    <x v="1"/>
    <s v="Bat"/>
    <s v="Royal Challengers Bengaluru"/>
    <s v="Punjab Kings"/>
    <s v="27 runs"/>
    <s v="Mohammed Siraj"/>
    <n v="1"/>
  </r>
  <r>
    <s v="IPL25-M004"/>
    <n v="2025"/>
    <s v="25-Mar-2025"/>
    <s v="League Stage"/>
    <x v="2"/>
    <s v="Delhi Capitals"/>
    <s v="Sunrisers Hyderabad"/>
    <n v="218"/>
    <s v="218/3 (16.5 ov)"/>
    <n v="169"/>
    <s v="169/6 (18.8 ov)"/>
    <x v="2"/>
    <s v="Bat"/>
    <s v="Delhi Capitals"/>
    <s v="Sunrisers Hyderabad"/>
    <s v="49 runs"/>
    <s v="Prithvi Shaw"/>
    <n v="1"/>
  </r>
  <r>
    <s v="IPL25-M005"/>
    <n v="2025"/>
    <s v="26-Mar-2025"/>
    <s v="League Stage"/>
    <x v="3"/>
    <s v="Gujarat Titans"/>
    <s v="Kolkata Knight Riders"/>
    <n v="165"/>
    <s v="165/8 (15.2 ov)"/>
    <n v="149"/>
    <s v="149/2 (19.5 ov)"/>
    <x v="3"/>
    <s v="Bat"/>
    <s v="Gujarat Titans"/>
    <s v="Kolkata Knight Riders"/>
    <s v="16 runs"/>
    <s v="Vijay Shankar"/>
    <n v="1"/>
  </r>
  <r>
    <s v="IPL25-M006"/>
    <n v="2025"/>
    <s v="27-Mar-2025"/>
    <s v="League Stage"/>
    <x v="0"/>
    <s v="Mumbai Indians"/>
    <s v="Delhi Capitals"/>
    <n v="137"/>
    <s v="137/5 (17.4 ov)"/>
    <n v="156"/>
    <s v="156/10 (14.3 ov)"/>
    <x v="2"/>
    <s v="Field"/>
    <s v="Mumbai Indians"/>
    <s v="Delhi Capitals"/>
    <s v="5 wickets"/>
    <s v="Mohammad Nabi"/>
    <n v="0"/>
  </r>
  <r>
    <s v="IPL25-M007"/>
    <n v="2025"/>
    <s v="28-Mar-2025"/>
    <s v="League Stage"/>
    <x v="4"/>
    <s v="Punjab Kings"/>
    <s v="Delhi Capitals"/>
    <n v="138"/>
    <s v="138/5 (15.3 ov)"/>
    <n v="122"/>
    <s v="122/4 (19.0 ov)"/>
    <x v="2"/>
    <s v="Field"/>
    <s v="Punjab Kings"/>
    <s v="Delhi Capitals"/>
    <s v="16 runs"/>
    <s v="Shikhar Dhawan"/>
    <n v="0"/>
  </r>
  <r>
    <s v="IPL25-M008"/>
    <n v="2025"/>
    <s v="29-Mar-2025"/>
    <s v="League Stage"/>
    <x v="3"/>
    <s v="Gujarat Titans"/>
    <s v="Mumbai Indians"/>
    <n v="220"/>
    <s v="220/7 (16.5 ov)"/>
    <n v="179"/>
    <s v="179/2 (14.5 ov)"/>
    <x v="3"/>
    <s v="Bat"/>
    <s v="Gujarat Titans"/>
    <s v="Mumbai Indians"/>
    <s v="41 runs"/>
    <s v="Hardik Pandya"/>
    <n v="1"/>
  </r>
  <r>
    <s v="IPL25-M009"/>
    <n v="2025"/>
    <s v="30-Mar-2025"/>
    <s v="League Stage"/>
    <x v="5"/>
    <s v="Lucknow Super Giants"/>
    <s v="Sunrisers Hyderabad"/>
    <n v="220"/>
    <s v="220/9 (15.3 ov)"/>
    <n v="213"/>
    <s v="213/3 (18.8 ov)"/>
    <x v="4"/>
    <s v="Bat"/>
    <s v="Lucknow Super Giants"/>
    <s v="Sunrisers Hyderabad"/>
    <s v="7 runs"/>
    <s v="Nicholas Pooran"/>
    <n v="1"/>
  </r>
  <r>
    <s v="IPL25-M010"/>
    <n v="2025"/>
    <s v="31-Mar-2025"/>
    <s v="League Stage"/>
    <x v="4"/>
    <s v="Punjab Kings"/>
    <s v="Gujarat Titans"/>
    <n v="229.01"/>
    <s v="229/6 (18.7 ov)"/>
    <n v="203"/>
    <s v="203/4 (16.3 ov)"/>
    <x v="5"/>
    <s v="Field"/>
    <s v="Punjab Kings"/>
    <s v="Gujarat Titans"/>
    <s v="26 runs"/>
    <s v="Sam Curran"/>
    <n v="1"/>
  </r>
  <r>
    <s v="IPL25-M011"/>
    <n v="2025"/>
    <s v="01-Apr-2025"/>
    <s v="League Stage"/>
    <x v="1"/>
    <s v="Royal Challengers Bengaluru"/>
    <s v="Sunrisers Hyderabad"/>
    <n v="223.01"/>
    <s v="223/10 (17.7 ov)"/>
    <n v="178"/>
    <s v="178/5 (15.1 ov)"/>
    <x v="1"/>
    <s v="Field"/>
    <s v="Sunrisers Hyderabad"/>
    <s v="Royal Challengers Bengaluru"/>
    <s v="2 wickets"/>
    <s v="Wanindu Hasaranga"/>
    <n v="0"/>
  </r>
  <r>
    <s v="IPL25-M012"/>
    <n v="2025"/>
    <s v="02-Apr-2025"/>
    <s v="League Stage"/>
    <x v="3"/>
    <s v="Gujarat Titans"/>
    <s v="Punjab Kings"/>
    <n v="178.01"/>
    <s v="178/4 (19.0 ov)"/>
    <n v="126"/>
    <s v="126/10 (15.2 ov)"/>
    <x v="3"/>
    <s v="Bat"/>
    <s v="Gujarat Titans"/>
    <s v="Punjab Kings"/>
    <s v="52 runs"/>
    <s v="Kane Williamson"/>
    <n v="1"/>
  </r>
  <r>
    <s v="IPL25-M013"/>
    <n v="2025"/>
    <s v="03-Apr-2025"/>
    <s v="League Stage"/>
    <x v="1"/>
    <s v="Royal Challengers Bengaluru"/>
    <s v="Delhi Capitals"/>
    <n v="189.01"/>
    <s v="189/8 (15.7 ov)"/>
    <n v="140"/>
    <s v="140/7 (19.5 ov)"/>
    <x v="1"/>
    <s v="Bat"/>
    <s v="Royal Challengers Bengaluru"/>
    <s v="Delhi Capitals"/>
    <s v="49 runs"/>
    <s v="Cameron Green"/>
    <n v="1"/>
  </r>
  <r>
    <s v="IPL25-M014"/>
    <n v="2025"/>
    <s v="04-Apr-2025"/>
    <s v="League Stage"/>
    <x v="6"/>
    <s v="Kolkata Knight Riders"/>
    <s v="Chennai Super Kings"/>
    <n v="231.01"/>
    <s v="231/5 (18.7 ov)"/>
    <n v="153"/>
    <s v="153/6 (16.6 ov)"/>
    <x v="6"/>
    <s v="Field"/>
    <s v="Chennai Super Kings"/>
    <s v="Kolkata Knight Riders"/>
    <s v="8 wickets"/>
    <s v="Shivam Dube"/>
    <n v="1"/>
  </r>
  <r>
    <s v="IPL25-M015"/>
    <n v="2025"/>
    <s v="05-Apr-2025"/>
    <s v="League Stage"/>
    <x v="7"/>
    <s v="Chennai Super Kings"/>
    <s v="Delhi Capitals"/>
    <n v="210.01"/>
    <s v="210/9 (18.6 ov)"/>
    <n v="175"/>
    <s v="175/2 (18.1 ov)"/>
    <x v="6"/>
    <s v="Field"/>
    <s v="Chennai Super Kings"/>
    <s v="Delhi Capitals"/>
    <s v="35 runs"/>
    <s v="Moeen Ali"/>
    <n v="1"/>
  </r>
  <r>
    <s v="IPL25-M016"/>
    <n v="2025"/>
    <s v="06-Apr-2025"/>
    <s v="League Stage"/>
    <x v="8"/>
    <s v="Sunrisers Hyderabad"/>
    <s v="Lucknow Super Giants"/>
    <n v="175.01"/>
    <s v="175/8 (19.7 ov)"/>
    <n v="142"/>
    <s v="142/7 (19.2 ov)"/>
    <x v="7"/>
    <s v="Bat"/>
    <s v="Sunrisers Hyderabad"/>
    <s v="Lucknow Super Giants"/>
    <s v="33 runs"/>
    <s v="Washington Sundar"/>
    <n v="1"/>
  </r>
  <r>
    <s v="IPL25-M017"/>
    <n v="2025"/>
    <s v="07-Apr-2025"/>
    <s v="League Stage"/>
    <x v="3"/>
    <s v="Gujarat Titans"/>
    <s v="Sunrisers Hyderabad"/>
    <n v="135.01"/>
    <s v="135/10 (18.9 ov)"/>
    <n v="159"/>
    <s v="159/2 (16.6 ov)"/>
    <x v="7"/>
    <s v="Bat"/>
    <s v="Gujarat Titans"/>
    <s v="Sunrisers Hyderabad"/>
    <s v="4 wickets"/>
    <s v="Hardik Pandya"/>
    <n v="0"/>
  </r>
  <r>
    <s v="IPL25-M018"/>
    <n v="2025"/>
    <s v="08-Apr-2025"/>
    <s v="League Stage"/>
    <x v="2"/>
    <s v="Delhi Capitals"/>
    <s v="Gujarat Titans"/>
    <n v="134.01"/>
    <s v="134/9 (15.2 ov)"/>
    <n v="125"/>
    <s v="125/3 (19.2 ov)"/>
    <x v="2"/>
    <s v="Bat"/>
    <s v="Gujarat Titans"/>
    <s v="Delhi Capitals"/>
    <s v="9 wickets"/>
    <s v="Abhinav Manohar"/>
    <n v="0"/>
  </r>
  <r>
    <s v="IPL25-M019"/>
    <n v="2025"/>
    <s v="09-Apr-2025"/>
    <s v="League Stage"/>
    <x v="9"/>
    <s v="Rajasthan Royals"/>
    <s v="Lucknow Super Giants"/>
    <n v="192.01"/>
    <s v="192/8 (17.6 ov)"/>
    <n v="206"/>
    <s v="206/4 (17.0 ov)"/>
    <x v="8"/>
    <s v="Field"/>
    <s v="Lucknow Super Giants"/>
    <s v="Rajasthan Royals"/>
    <s v="14 runs"/>
    <s v="Mark Wood"/>
    <n v="0"/>
  </r>
  <r>
    <s v="IPL25-M020"/>
    <n v="2025"/>
    <s v="10-Apr-2025"/>
    <s v="League Stage"/>
    <x v="6"/>
    <s v="Kolkata Knight Riders"/>
    <s v="Mumbai Indians"/>
    <n v="136.02000000000001"/>
    <s v="136/10 (16.8 ov)"/>
    <n v="207"/>
    <s v="207/4 (19.4 ov)"/>
    <x v="0"/>
    <s v="Field"/>
    <s v="Kolkata Knight Riders"/>
    <s v="Mumbai Indians"/>
    <s v="6 wickets"/>
    <s v="Phil Salt"/>
    <n v="0"/>
  </r>
  <r>
    <s v="IPL25-M021"/>
    <n v="2025"/>
    <s v="11-Apr-2025"/>
    <s v="League Stage"/>
    <x v="8"/>
    <s v="Sunrisers Hyderabad"/>
    <s v="Royal Challengers Bengaluru"/>
    <n v="202.02"/>
    <s v="202/10 (17.2 ov)"/>
    <n v="145"/>
    <s v="145/7 (19.2 ov)"/>
    <x v="7"/>
    <s v="Field"/>
    <s v="Sunrisers Hyderabad"/>
    <s v="Royal Challengers Bengaluru"/>
    <s v="57 runs"/>
    <s v="Shahbaz Ahmed"/>
    <n v="1"/>
  </r>
  <r>
    <s v="IPL25-M022"/>
    <n v="2025"/>
    <s v="12-Apr-2025"/>
    <s v="League Stage"/>
    <x v="3"/>
    <s v="Gujarat Titans"/>
    <s v="Chennai Super Kings"/>
    <n v="203.02"/>
    <s v="203/3 (15.8 ov)"/>
    <n v="186"/>
    <s v="186/10 (15.9 ov)"/>
    <x v="3"/>
    <s v="Bat"/>
    <s v="Chennai Super Kings"/>
    <s v="Gujarat Titans"/>
    <s v="1 wickets"/>
    <s v="Ravindra Jadeja"/>
    <n v="0"/>
  </r>
  <r>
    <s v="IPL25-M023"/>
    <n v="2025"/>
    <s v="13-Apr-2025"/>
    <s v="League Stage"/>
    <x v="6"/>
    <s v="Kolkata Knight Riders"/>
    <s v="Delhi Capitals"/>
    <n v="204.02"/>
    <s v="204/10 (16.4 ov)"/>
    <n v="199"/>
    <s v="199/8 (17.8 ov)"/>
    <x v="9"/>
    <s v="Field"/>
    <s v="Kolkata Knight Riders"/>
    <s v="Delhi Capitals"/>
    <s v="5 runs"/>
    <s v="Varun Chakravarthy"/>
    <n v="1"/>
  </r>
  <r>
    <s v="IPL25-M024"/>
    <n v="2025"/>
    <s v="14-Apr-2025"/>
    <s v="League Stage"/>
    <x v="3"/>
    <s v="Gujarat Titans"/>
    <s v="Lucknow Super Giants"/>
    <n v="218.02"/>
    <s v="218/2 (15.7 ov)"/>
    <n v="163"/>
    <s v="163/2 (15.4 ov)"/>
    <x v="3"/>
    <s v="Field"/>
    <s v="Lucknow Super Giants"/>
    <s v="Gujarat Titans"/>
    <s v="2 wickets"/>
    <s v="Avesh Khan"/>
    <n v="0"/>
  </r>
  <r>
    <s v="IPL25-M025"/>
    <n v="2025"/>
    <s v="15-Apr-2025"/>
    <s v="League Stage"/>
    <x v="5"/>
    <s v="Lucknow Super Giants"/>
    <s v="Kolkata Knight Riders"/>
    <n v="217.02"/>
    <s v="217/3 (18.2 ov)"/>
    <n v="197"/>
    <s v="197/3 (14.2 ov)"/>
    <x v="9"/>
    <s v="Bat"/>
    <s v="Kolkata Knight Riders"/>
    <s v="Lucknow Super Giants"/>
    <s v="8 wickets"/>
    <s v="Manish Pandey"/>
    <n v="1"/>
  </r>
  <r>
    <s v="IPL25-M026"/>
    <n v="2025"/>
    <s v="16-Apr-2025"/>
    <s v="League Stage"/>
    <x v="8"/>
    <s v="Sunrisers Hyderabad"/>
    <s v="Kolkata Knight Riders"/>
    <n v="133.02000000000001"/>
    <s v="133/10 (15.8 ov)"/>
    <n v="211"/>
    <s v="211/2 (17.6 ov)"/>
    <x v="7"/>
    <s v="Bat"/>
    <s v="Kolkata Knight Riders"/>
    <s v="Sunrisers Hyderabad"/>
    <s v="78 runs"/>
    <s v="Angkrish Raghuvanshi"/>
    <n v="0"/>
  </r>
  <r>
    <s v="IPL25-M027"/>
    <n v="2025"/>
    <s v="17-Apr-2025"/>
    <s v="League Stage"/>
    <x v="9"/>
    <s v="Rajasthan Royals"/>
    <s v="Punjab Kings"/>
    <n v="159.02000000000001"/>
    <s v="159/6 (15.2 ov)"/>
    <n v="113"/>
    <s v="113/9 (16.4 ov)"/>
    <x v="5"/>
    <s v="Field"/>
    <s v="Punjab Kings"/>
    <s v="Rajasthan Royals"/>
    <s v="8 wickets"/>
    <s v="Sikandar Raza"/>
    <n v="1"/>
  </r>
  <r>
    <s v="IPL25-M028"/>
    <n v="2025"/>
    <s v="18-Apr-2025"/>
    <s v="League Stage"/>
    <x v="1"/>
    <s v="Royal Challengers Bengaluru"/>
    <s v="Chennai Super Kings"/>
    <n v="192.02"/>
    <s v="192/8 (17.9 ov)"/>
    <n v="166"/>
    <s v="166/7 (18.4 ov)"/>
    <x v="1"/>
    <s v="Field"/>
    <s v="Chennai Super Kings"/>
    <s v="Royal Challengers Bengaluru"/>
    <s v="4 wickets"/>
    <s v="Moeen Ali"/>
    <n v="0"/>
  </r>
  <r>
    <s v="IPL25-M029"/>
    <n v="2025"/>
    <s v="19-Apr-2025"/>
    <s v="League Stage"/>
    <x v="4"/>
    <s v="Punjab Kings"/>
    <s v="Lucknow Super Giants"/>
    <n v="151.02000000000001"/>
    <s v="151/6 (15.2 ov)"/>
    <n v="188"/>
    <s v="188/8 (19.3 ov)"/>
    <x v="5"/>
    <s v="Field"/>
    <s v="Lucknow Super Giants"/>
    <s v="Punjab Kings"/>
    <s v="37 runs"/>
    <s v="Mohsin Khan"/>
    <n v="0"/>
  </r>
  <r>
    <s v="IPL25-M030"/>
    <n v="2025"/>
    <s v="20-Apr-2025"/>
    <s v="League Stage"/>
    <x v="2"/>
    <s v="Delhi Capitals"/>
    <s v="Mumbai Indians"/>
    <n v="143.03"/>
    <s v="143/3 (18.9 ov)"/>
    <n v="189"/>
    <s v="189/9 (18.0 ov)"/>
    <x v="2"/>
    <s v="Bat"/>
    <s v="Delhi Capitals"/>
    <s v="Mumbai Indians"/>
    <s v="2 wickets"/>
    <s v="Ricky Bhui"/>
    <n v="1"/>
  </r>
  <r>
    <s v="IPL25-M031"/>
    <n v="2025"/>
    <s v="21-Apr-2025"/>
    <s v="League Stage"/>
    <x v="8"/>
    <s v="Sunrisers Hyderabad"/>
    <s v="Gujarat Titans"/>
    <n v="229.03"/>
    <s v="229/4 (19.2 ov)"/>
    <n v="153"/>
    <s v="153/5 (14.8 ov)"/>
    <x v="3"/>
    <s v="Field"/>
    <s v="Sunrisers Hyderabad"/>
    <s v="Gujarat Titans"/>
    <s v="76 runs"/>
    <s v="Marco Jansen"/>
    <n v="0"/>
  </r>
  <r>
    <s v="IPL25-M032"/>
    <n v="2025"/>
    <s v="22-Apr-2025"/>
    <s v="League Stage"/>
    <x v="7"/>
    <s v="Chennai Super Kings"/>
    <s v="Mumbai Indians"/>
    <n v="158.03"/>
    <s v="158/5 (18.8 ov)"/>
    <n v="183"/>
    <s v="183/3 (15.5 ov)"/>
    <x v="0"/>
    <s v="Field"/>
    <s v="Chennai Super Kings"/>
    <s v="Mumbai Indians"/>
    <s v="7 wickets"/>
    <s v="Mitchell Santner"/>
    <n v="0"/>
  </r>
  <r>
    <s v="IPL25-M033"/>
    <n v="2025"/>
    <s v="23-Apr-2025"/>
    <s v="League Stage"/>
    <x v="8"/>
    <s v="Sunrisers Hyderabad"/>
    <s v="Chennai Super Kings"/>
    <n v="202.03"/>
    <s v="202/2 (18.2 ov)"/>
    <n v="217"/>
    <s v="217/6 (16.7 ov)"/>
    <x v="6"/>
    <s v="Field"/>
    <s v="Sunrisers Hyderabad"/>
    <s v="Chennai Super Kings"/>
    <s v="4 wickets"/>
    <s v="Pat Cummins"/>
    <n v="0"/>
  </r>
  <r>
    <s v="IPL25-M034"/>
    <n v="2025"/>
    <s v="24-Apr-2025"/>
    <s v="League Stage"/>
    <x v="3"/>
    <s v="Gujarat Titans"/>
    <s v="Delhi Capitals"/>
    <n v="180.03"/>
    <s v="180/3 (15.7 ov)"/>
    <n v="200"/>
    <s v="200/3 (16.4 ov)"/>
    <x v="3"/>
    <s v="Bat"/>
    <s v="Gujarat Titans"/>
    <s v="Delhi Capitals"/>
    <s v="6 wickets"/>
    <s v="Darshan Nalkande"/>
    <n v="1"/>
  </r>
  <r>
    <s v="IPL25-M035"/>
    <n v="2025"/>
    <s v="25-Apr-2025"/>
    <s v="League Stage"/>
    <x v="7"/>
    <s v="Chennai Super Kings"/>
    <s v="Rajasthan Royals"/>
    <n v="229.03"/>
    <s v="229/5 (15.5 ov)"/>
    <n v="134"/>
    <s v="134/5 (16.0 ov)"/>
    <x v="8"/>
    <s v="Bat"/>
    <s v="Chennai Super Kings"/>
    <s v="Rajasthan Royals"/>
    <s v="95 runs"/>
    <s v="Rachin Ravindra"/>
    <n v="0"/>
  </r>
  <r>
    <s v="IPL25-M036"/>
    <n v="2025"/>
    <s v="26-Apr-2025"/>
    <s v="League Stage"/>
    <x v="1"/>
    <s v="Royal Challengers Bengaluru"/>
    <s v="Lucknow Super Giants"/>
    <n v="138.03"/>
    <s v="138/10 (17.4 ov)"/>
    <n v="215"/>
    <s v="215/4 (14.7 ov)"/>
    <x v="1"/>
    <s v="Field"/>
    <s v="Lucknow Super Giants"/>
    <s v="Royal Challengers Bengaluru"/>
    <s v="77 runs"/>
    <s v="Krunal Pandya"/>
    <n v="0"/>
  </r>
  <r>
    <s v="IPL25-M037"/>
    <n v="2025"/>
    <s v="27-Apr-2025"/>
    <s v="League Stage"/>
    <x v="0"/>
    <s v="Mumbai Indians"/>
    <s v="Rajasthan Royals"/>
    <n v="201.03"/>
    <s v="201/3 (16.9 ov)"/>
    <n v="167"/>
    <s v="167/9 (18.7 ov)"/>
    <x v="8"/>
    <s v="Field"/>
    <s v="Rajasthan Royals"/>
    <s v="Mumbai Indians"/>
    <s v="3 wickets"/>
    <s v="Sandeep Sharma"/>
    <n v="1"/>
  </r>
  <r>
    <s v="IPL25-M038"/>
    <n v="2025"/>
    <s v="28-Apr-2025"/>
    <s v="League Stage"/>
    <x v="7"/>
    <s v="Chennai Super Kings"/>
    <s v="Royal Challengers Bengaluru"/>
    <n v="172.03"/>
    <s v="172/7 (15.3 ov)"/>
    <n v="121"/>
    <s v="121/5 (15.1 ov)"/>
    <x v="6"/>
    <s v="Bat"/>
    <s v="Chennai Super Kings"/>
    <s v="Royal Challengers Bengaluru"/>
    <s v="51 runs"/>
    <s v="Devon Conway"/>
    <n v="1"/>
  </r>
  <r>
    <s v="IPL25-M039"/>
    <n v="2025"/>
    <s v="29-Apr-2025"/>
    <s v="League Stage"/>
    <x v="9"/>
    <s v="Rajasthan Royals"/>
    <s v="Gujarat Titans"/>
    <n v="197.03"/>
    <s v="197/6 (17.6 ov)"/>
    <n v="172"/>
    <s v="172/2 (15.2 ov)"/>
    <x v="8"/>
    <s v="Bat"/>
    <s v="Rajasthan Royals"/>
    <s v="Gujarat Titans"/>
    <s v="25 runs"/>
    <s v="Dhruv Jurel"/>
    <n v="1"/>
  </r>
  <r>
    <s v="IPL25-M040"/>
    <n v="2025"/>
    <s v="30-Apr-2025"/>
    <s v="League Stage"/>
    <x v="1"/>
    <s v="Royal Challengers Bengaluru"/>
    <s v="Mumbai Indians"/>
    <n v="145.04"/>
    <s v="145/4 (19.4 ov)"/>
    <n v="117"/>
    <s v="117/2 (17.1 ov)"/>
    <x v="1"/>
    <s v="Bat"/>
    <s v="Mumbai Indians"/>
    <s v="Royal Challengers Bengaluru"/>
    <s v="5 wickets"/>
    <s v="Dewald Brevis"/>
    <n v="0"/>
  </r>
  <r>
    <s v="IPL25-M041"/>
    <n v="2025"/>
    <s v="01-May-2025"/>
    <s v="League Stage"/>
    <x v="3"/>
    <s v="Gujarat Titans"/>
    <s v="Royal Challengers Bengaluru"/>
    <n v="167.04"/>
    <s v="167/2 (19.9 ov)"/>
    <n v="140"/>
    <s v="140/6 (16.5 ov)"/>
    <x v="3"/>
    <s v="Bat"/>
    <s v="Royal Challengers Bengaluru"/>
    <s v="Gujarat Titans"/>
    <s v="6 wickets"/>
    <s v="Rajat Patidar"/>
    <n v="0"/>
  </r>
  <r>
    <s v="IPL25-M042"/>
    <n v="2025"/>
    <s v="02-May-2025"/>
    <s v="League Stage"/>
    <x v="7"/>
    <s v="Chennai Super Kings"/>
    <s v="Lucknow Super Giants"/>
    <n v="185.04"/>
    <s v="185/3 (19.0 ov)"/>
    <n v="149"/>
    <s v="149/5 (18.6 ov)"/>
    <x v="6"/>
    <s v="Field"/>
    <s v="Lucknow Super Giants"/>
    <s v="Chennai Super Kings"/>
    <s v="6 wickets"/>
    <s v="Ayush Badoni"/>
    <n v="0"/>
  </r>
  <r>
    <s v="IPL25-M043"/>
    <n v="2025"/>
    <s v="03-May-2025"/>
    <s v="League Stage"/>
    <x v="9"/>
    <s v="Rajasthan Royals"/>
    <s v="Royal Challengers Bengaluru"/>
    <n v="199.04"/>
    <s v="199/4 (17.0 ov)"/>
    <n v="180"/>
    <s v="180/8 (16.6 ov)"/>
    <x v="1"/>
    <s v="Bat"/>
    <s v="Royal Challengers Bengaluru"/>
    <s v="Rajasthan Royals"/>
    <s v="1 wickets"/>
    <s v="Faf du Plessis"/>
    <n v="1"/>
  </r>
  <r>
    <s v="IPL25-M044"/>
    <n v="2025"/>
    <s v="04-May-2025"/>
    <s v="League Stage"/>
    <x v="2"/>
    <s v="Delhi Capitals"/>
    <s v="Rajasthan Royals"/>
    <n v="212.04"/>
    <s v="212/7 (19.5 ov)"/>
    <n v="139"/>
    <s v="139/4 (19.2 ov)"/>
    <x v="2"/>
    <s v="Bat"/>
    <s v="Rajasthan Royals"/>
    <s v="Delhi Capitals"/>
    <s v="9 wickets"/>
    <s v="Joe Root"/>
    <n v="0"/>
  </r>
  <r>
    <s v="IPL25-M045"/>
    <n v="2025"/>
    <s v="05-May-2025"/>
    <s v="League Stage"/>
    <x v="4"/>
    <s v="Punjab Kings"/>
    <s v="Royal Challengers Bengaluru"/>
    <n v="183.04"/>
    <s v="183/9 (18.4 ov)"/>
    <n v="146"/>
    <s v="146/7 (19.2 ov)"/>
    <x v="5"/>
    <s v="Bat"/>
    <s v="Royal Challengers Bengaluru"/>
    <s v="Punjab Kings"/>
    <s v="1 wickets"/>
    <s v="Rajan Kumar"/>
    <n v="0"/>
  </r>
  <r>
    <s v="IPL25-M046"/>
    <n v="2025"/>
    <s v="06-May-2025"/>
    <s v="League Stage"/>
    <x v="5"/>
    <s v="Lucknow Super Giants"/>
    <s v="Chennai Super Kings"/>
    <n v="153.04"/>
    <s v="153/2 (18.3 ov)"/>
    <n v="148"/>
    <s v="148/2 (17.0 ov)"/>
    <x v="6"/>
    <s v="Field"/>
    <s v="Chennai Super Kings"/>
    <s v="Lucknow Super Giants"/>
    <s v="5 wickets"/>
    <s v="Deepak Chahar"/>
    <n v="1"/>
  </r>
  <r>
    <s v="IPL25-M047"/>
    <n v="2025"/>
    <s v="07-May-2025"/>
    <s v="League Stage"/>
    <x v="6"/>
    <s v="Kolkata Knight Riders"/>
    <s v="Punjab Kings"/>
    <n v="142.04"/>
    <s v="142/6 (15.6 ov)"/>
    <n v="139"/>
    <s v="139/9 (18.0 ov)"/>
    <x v="9"/>
    <s v="Field"/>
    <s v="Punjab Kings"/>
    <s v="Kolkata Knight Riders"/>
    <s v="6 wickets"/>
    <s v="Sam Curran"/>
    <n v="0"/>
  </r>
  <r>
    <s v="IPL25-M048"/>
    <n v="2025"/>
    <s v="08-May-2025"/>
    <s v="League Stage"/>
    <x v="7"/>
    <s v="Chennai Super Kings"/>
    <s v="Sunrisers Hyderabad"/>
    <n v="186.04"/>
    <s v="186/3 (18.8 ov)"/>
    <n v="158"/>
    <s v="158/2 (15.0 ov)"/>
    <x v="7"/>
    <s v="Field"/>
    <s v="Chennai Super Kings"/>
    <s v="Sunrisers Hyderabad"/>
    <s v="28 runs"/>
    <s v="Shivam Dube"/>
    <n v="0"/>
  </r>
  <r>
    <s v="IPL25-M049"/>
    <n v="2025"/>
    <s v="09-May-2025"/>
    <s v="League Stage"/>
    <x v="6"/>
    <s v="Kolkata Knight Riders"/>
    <s v="Royal Challengers Bengaluru"/>
    <n v="231.04"/>
    <s v="231/4 (18.4 ov)"/>
    <n v="155"/>
    <s v="155/8 (15.1 ov)"/>
    <x v="1"/>
    <s v="Bat"/>
    <s v="Royal Challengers Bengaluru"/>
    <s v="Kolkata Knight Riders"/>
    <s v="6 wickets"/>
    <s v="Suyash Prabhudessai"/>
    <n v="1"/>
  </r>
  <r>
    <s v="IPL25-M050"/>
    <n v="2025"/>
    <s v="10-May-2025"/>
    <s v="League Stage"/>
    <x v="9"/>
    <s v="Rajasthan Royals"/>
    <s v="Chennai Super Kings"/>
    <n v="196.05"/>
    <s v="196/7 (17.0 ov)"/>
    <n v="126"/>
    <s v="126/2 (15.0 ov)"/>
    <x v="8"/>
    <s v="Bat"/>
    <s v="Chennai Super Kings"/>
    <s v="Rajasthan Royals"/>
    <s v="6 wickets"/>
    <s v="Ajinkya Rahane"/>
    <n v="0"/>
  </r>
  <r>
    <s v="IPL25-M051"/>
    <n v="2025"/>
    <s v="11-May-2025"/>
    <s v="League Stage"/>
    <x v="2"/>
    <s v="Delhi Capitals"/>
    <s v="Kolkata Knight Riders"/>
    <n v="166.05"/>
    <s v="166/4 (16.9 ov)"/>
    <n v="157"/>
    <s v="157/2 (19.9 ov)"/>
    <x v="9"/>
    <s v="Bat"/>
    <s v="Kolkata Knight Riders"/>
    <s v="Delhi Capitals"/>
    <s v="1 wickets"/>
    <s v="Mitchell Starc"/>
    <n v="1"/>
  </r>
  <r>
    <s v="IPL25-M052"/>
    <n v="2025"/>
    <s v="12-May-2025"/>
    <s v="League Stage"/>
    <x v="0"/>
    <s v="Mumbai Indians"/>
    <s v="Lucknow Super Giants"/>
    <n v="227.05"/>
    <s v="227/10 (17.4 ov)"/>
    <n v="151"/>
    <s v="151/6 (18.2 ov)"/>
    <x v="0"/>
    <s v="Bat"/>
    <s v="Lucknow Super Giants"/>
    <s v="Mumbai Indians"/>
    <s v="9 wickets"/>
    <s v="Amit Mishra"/>
    <n v="0"/>
  </r>
  <r>
    <s v="IPL25-M053"/>
    <n v="2025"/>
    <s v="13-May-2025"/>
    <s v="League Stage"/>
    <x v="2"/>
    <s v="Delhi Capitals"/>
    <s v="Royal Challengers Bengaluru"/>
    <n v="150.05000000000001"/>
    <s v="150/7 (17.7 ov)"/>
    <n v="178"/>
    <s v="178/10 (16.6 ov)"/>
    <x v="1"/>
    <s v="Field"/>
    <s v="Royal Challengers Bengaluru"/>
    <s v="Delhi Capitals"/>
    <s v="28 runs"/>
    <s v="Will Jacks"/>
    <n v="1"/>
  </r>
  <r>
    <s v="IPL25-M054"/>
    <n v="2025"/>
    <s v="14-May-2025"/>
    <s v="League Stage"/>
    <x v="6"/>
    <s v="Kolkata Knight Riders"/>
    <s v="Rajasthan Royals"/>
    <n v="211.05"/>
    <s v="211/4 (18.0 ov)"/>
    <n v="215"/>
    <s v="215/9 (17.3 ov)"/>
    <x v="9"/>
    <s v="Field"/>
    <s v="Kolkata Knight Riders"/>
    <s v="Rajasthan Royals"/>
    <s v="8 wickets"/>
    <s v="Sunil Narine"/>
    <n v="1"/>
  </r>
  <r>
    <s v="IPL25-M055"/>
    <n v="2025"/>
    <s v="15-May-2025"/>
    <s v="League Stage"/>
    <x v="0"/>
    <s v="Mumbai Indians"/>
    <s v="Kolkata Knight Riders"/>
    <n v="131.05000000000001"/>
    <s v="131/8 (19.2 ov)"/>
    <n v="201"/>
    <s v="201/10 (15.6 ov)"/>
    <x v="0"/>
    <s v="Field"/>
    <s v="Mumbai Indians"/>
    <s v="Kolkata Knight Riders"/>
    <s v="3 wickets"/>
    <s v="Hardik Pandya"/>
    <n v="1"/>
  </r>
  <r>
    <s v="IPL25-M056"/>
    <n v="2025"/>
    <s v="16-May-2025"/>
    <s v="League Stage"/>
    <x v="9"/>
    <s v="Rajasthan Royals"/>
    <s v="Mumbai Indians"/>
    <n v="220.05"/>
    <s v="220/9 (15.9 ov)"/>
    <n v="119"/>
    <s v="119/10 (19.9 ov)"/>
    <x v="0"/>
    <s v="Field"/>
    <s v="Rajasthan Royals"/>
    <s v="Mumbai Indians"/>
    <s v="101 runs"/>
    <s v="Sanju Samson"/>
    <n v="0"/>
  </r>
  <r>
    <s v="IPL25-M057"/>
    <n v="2025"/>
    <s v="17-May-2025"/>
    <s v="League Stage"/>
    <x v="1"/>
    <s v="Royal Challengers Bengaluru"/>
    <s v="Kolkata Knight Riders"/>
    <n v="219.05"/>
    <s v="219/4 (18.4 ov)"/>
    <n v="156"/>
    <s v="156/7 (19.0 ov)"/>
    <x v="1"/>
    <s v="Bat"/>
    <s v="Kolkata Knight Riders"/>
    <s v="Royal Challengers Bengaluru"/>
    <s v="5 wickets"/>
    <s v="Manish Pandey"/>
    <n v="0"/>
  </r>
  <r>
    <s v="IPL25-M058"/>
    <n v="2025"/>
    <s v="18-May-2025"/>
    <s v="League Stage"/>
    <x v="0"/>
    <s v="Mumbai Indians"/>
    <s v="Royal Challengers Bengaluru"/>
    <n v="186.05"/>
    <s v="186/4 (16.4 ov)"/>
    <n v="228"/>
    <s v="228/6 (18.7 ov)"/>
    <x v="0"/>
    <s v="Field"/>
    <s v="Mumbai Indians"/>
    <s v="Royal Challengers Bengaluru"/>
    <s v="9 wickets"/>
    <s v="Akash Madhwal"/>
    <n v="1"/>
  </r>
  <r>
    <s v="IPL25-M059"/>
    <n v="2025"/>
    <s v="19-May-2025"/>
    <s v="League Stage"/>
    <x v="6"/>
    <s v="Kolkata Knight Riders"/>
    <s v="Lucknow Super Giants"/>
    <n v="178.05"/>
    <s v="178/6 (16.4 ov)"/>
    <n v="218"/>
    <s v="218/8 (18.2 ov)"/>
    <x v="9"/>
    <s v="Bat"/>
    <s v="Kolkata Knight Riders"/>
    <s v="Lucknow Super Giants"/>
    <s v="6 wickets"/>
    <s v="Venkatesh Iyer"/>
    <n v="1"/>
  </r>
  <r>
    <s v="IPL25-M060"/>
    <n v="2025"/>
    <s v="20-May-2025"/>
    <s v="League Stage"/>
    <x v="1"/>
    <s v="Royal Challengers Bengaluru"/>
    <s v="Gujarat Titans"/>
    <n v="168.06"/>
    <s v="168/4 (16.0 ov)"/>
    <n v="169"/>
    <s v="169/7 (15.3 ov)"/>
    <x v="3"/>
    <s v="Field"/>
    <s v="Gujarat Titans"/>
    <s v="Royal Challengers Bengaluru"/>
    <s v="1 runs"/>
    <s v="B Sai Sudharsan"/>
    <n v="1"/>
  </r>
  <r>
    <s v="IPL25-M061"/>
    <n v="2025"/>
    <s v="21-May-2025"/>
    <s v="League Stage"/>
    <x v="9"/>
    <s v="Rajasthan Royals"/>
    <s v="Delhi Capitals"/>
    <n v="199.06"/>
    <s v="199/4 (19.3 ov)"/>
    <n v="149"/>
    <s v="149/2 (15.0 ov)"/>
    <x v="8"/>
    <s v="Bat"/>
    <s v="Delhi Capitals"/>
    <s v="Rajasthan Royals"/>
    <s v="7 wickets"/>
    <s v="Anrich Nortje"/>
    <n v="0"/>
  </r>
  <r>
    <s v="IPL25-M062"/>
    <n v="2025"/>
    <s v="22-May-2025"/>
    <s v="League Stage"/>
    <x v="5"/>
    <s v="Lucknow Super Giants"/>
    <s v="Rajasthan Royals"/>
    <n v="139.06"/>
    <s v="139/6 (15.7 ov)"/>
    <n v="205"/>
    <s v="205/7 (14.9 ov)"/>
    <x v="8"/>
    <s v="Field"/>
    <s v="Lucknow Super Giants"/>
    <s v="Rajasthan Royals"/>
    <s v="4 wickets"/>
    <s v="Nicholas Pooran"/>
    <n v="0"/>
  </r>
  <r>
    <s v="IPL25-M063"/>
    <n v="2025"/>
    <s v="23-May-2025"/>
    <s v="League Stage"/>
    <x v="7"/>
    <s v="Chennai Super Kings"/>
    <s v="Gujarat Titans"/>
    <n v="159.06"/>
    <s v="159/7 (17.3 ov)"/>
    <n v="204"/>
    <s v="204/4 (15.1 ov)"/>
    <x v="3"/>
    <s v="Bat"/>
    <s v="Gujarat Titans"/>
    <s v="Chennai Super Kings"/>
    <s v="45 runs"/>
    <s v="B Sai Sudharsan"/>
    <n v="1"/>
  </r>
  <r>
    <s v="IPL25-M064"/>
    <n v="2025"/>
    <s v="24-May-2025"/>
    <s v="League Stage"/>
    <x v="0"/>
    <s v="Mumbai Indians"/>
    <s v="Punjab Kings"/>
    <n v="191.06"/>
    <s v="191/7 (15.7 ov)"/>
    <n v="183"/>
    <s v="183/3 (17.0 ov)"/>
    <x v="5"/>
    <s v="Field"/>
    <s v="Punjab Kings"/>
    <s v="Mumbai Indians"/>
    <s v="5 wickets"/>
    <s v="Shikhar Dhawan"/>
    <n v="1"/>
  </r>
  <r>
    <s v="IPL25-M065"/>
    <n v="2025"/>
    <s v="25-May-2025"/>
    <s v="League Stage"/>
    <x v="4"/>
    <s v="Punjab Kings"/>
    <s v="Kolkata Knight Riders"/>
    <n v="220.06"/>
    <s v="220/6 (19.3 ov)"/>
    <n v="230"/>
    <s v="230/4 (16.8 ov)"/>
    <x v="9"/>
    <s v="Bat"/>
    <s v="Punjab Kings"/>
    <s v="Kolkata Knight Riders"/>
    <s v="4 wickets"/>
    <s v="Jonny Bairstow"/>
    <n v="0"/>
  </r>
  <r>
    <s v="IPL25-M066"/>
    <n v="2025"/>
    <s v="26-May-2025"/>
    <s v="League Stage"/>
    <x v="2"/>
    <s v="Delhi Capitals"/>
    <s v="Lucknow Super Giants"/>
    <n v="140.06"/>
    <s v="140/5 (19.8 ov)"/>
    <n v="160"/>
    <s v="160/3 (16.1 ov)"/>
    <x v="2"/>
    <s v="Bat"/>
    <s v="Lucknow Super Giants"/>
    <s v="Delhi Capitals"/>
    <s v="20 runs"/>
    <s v="Jason Holder"/>
    <n v="0"/>
  </r>
  <r>
    <s v="IPL25-M067"/>
    <n v="2025"/>
    <s v="27-May-2025"/>
    <s v="League Stage"/>
    <x v="4"/>
    <s v="Punjab Kings"/>
    <s v="Mumbai Indians"/>
    <n v="188.06"/>
    <s v="188/10 (16.1 ov)"/>
    <n v="214"/>
    <s v="214/2 (19.6 ov)"/>
    <x v="5"/>
    <s v="Bat"/>
    <s v="Punjab Kings"/>
    <s v="Mumbai Indians"/>
    <s v="7 wickets"/>
    <s v="Harpreet Brar"/>
    <n v="1"/>
  </r>
  <r>
    <s v="IPL25-M068"/>
    <n v="2025"/>
    <s v="28-May-2025"/>
    <s v="League Stage"/>
    <x v="6"/>
    <s v="Kolkata Knight Riders"/>
    <s v="Gujarat Titans"/>
    <n v="145.06"/>
    <s v="145/3 (15.9 ov)"/>
    <n v="219"/>
    <s v="219/3 (16.3 ov)"/>
    <x v="3"/>
    <s v="Bat"/>
    <s v="Kolkata Knight Riders"/>
    <s v="Gujarat Titans"/>
    <s v="9 wickets"/>
    <s v="Sunil Narine"/>
    <n v="0"/>
  </r>
  <r>
    <s v="IPL25-M069"/>
    <n v="2025"/>
    <s v="29-May-2025"/>
    <s v="League Stage"/>
    <x v="7"/>
    <s v="Chennai Super Kings"/>
    <s v="Kolkata Knight Riders"/>
    <n v="157.06"/>
    <s v="157/4 (19.0 ov)"/>
    <n v="114"/>
    <s v="114/3 (17.5 ov)"/>
    <x v="9"/>
    <s v="Bat"/>
    <s v="Chennai Super Kings"/>
    <s v="Kolkata Knight Riders"/>
    <s v="43 runs"/>
    <s v="Shivam Dube"/>
    <n v="0"/>
  </r>
  <r>
    <s v="IPL25-M070"/>
    <n v="2025"/>
    <s v="30-May-2025"/>
    <s v="League Stage"/>
    <x v="7"/>
    <s v="Chennai Super Kings"/>
    <s v="Punjab Kings"/>
    <n v="222.07"/>
    <s v="222/5 (16.8 ov)"/>
    <n v="177"/>
    <s v="177/10 (15.8 ov)"/>
    <x v="6"/>
    <s v="Field"/>
    <s v="Punjab Kings"/>
    <s v="Chennai Super Kings"/>
    <s v="7 wickets"/>
    <s v="Nathan Ellis"/>
    <n v="0"/>
  </r>
  <r>
    <s v="IPL25-M071"/>
    <n v="2025"/>
    <s v="20-May-2025"/>
    <s v="Qualifier 1"/>
    <x v="0"/>
    <s v="Chennai Super Kings"/>
    <s v="Kolkata Knight Riders"/>
    <n v="206.07"/>
    <s v="206/3 (17.3 ov)"/>
    <n v="194"/>
    <s v="194/4 (20.0 ov)"/>
    <x v="9"/>
    <s v="Bat"/>
    <s v="Chennai Super Kings"/>
    <s v="Kolkata Knight Riders"/>
    <s v="12 runs"/>
    <s v="Shivam Dube"/>
    <n v="0"/>
  </r>
  <r>
    <s v="IPL25-M072"/>
    <n v="2025"/>
    <s v="22-May-2025"/>
    <s v="Eliminator"/>
    <x v="0"/>
    <s v="Lucknow Super Giants"/>
    <s v="Gujarat Titans"/>
    <n v="211.07"/>
    <s v="211/4 (18.5 ov)"/>
    <n v="138"/>
    <s v="138/2 (16.8 ov)"/>
    <x v="4"/>
    <s v="Field"/>
    <s v="Gujarat Titans"/>
    <s v="Lucknow Super Giants"/>
    <s v="73 runs"/>
    <s v="Azmatullah Omarzai"/>
    <n v="0"/>
  </r>
  <r>
    <s v="IPL25-M073"/>
    <n v="2025"/>
    <s v="24-May-2025"/>
    <s v="Qualifier 2"/>
    <x v="0"/>
    <s v="Lucknow Super Giants"/>
    <s v="Gujarat Titans"/>
    <n v="163.07"/>
    <s v="163/2 (18.5 ov)"/>
    <n v="192"/>
    <s v="192/4 (17.9 ov)"/>
    <x v="3"/>
    <s v="Field"/>
    <s v="Gujarat Titans"/>
    <s v="Lucknow Super Giants"/>
    <s v="29 runs"/>
    <s v="B Sai Sudharsan"/>
    <n v="1"/>
  </r>
  <r>
    <s v="IPL25-M074"/>
    <n v="2025"/>
    <s v="26-May-2025"/>
    <s v="Final"/>
    <x v="3"/>
    <s v="Chennai Super Kings"/>
    <s v="Gujarat Titans"/>
    <n v="159.07"/>
    <s v="159/9 (18.1 ov)"/>
    <n v="203"/>
    <s v="203/9 (17.8 ov)"/>
    <x v="3"/>
    <s v="Bat"/>
    <s v="Royal Challengers Bengaluru"/>
    <s v="Chennai Super Kings"/>
    <s v="44 runs"/>
    <s v="Reece Topley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x v="0"/>
    <n v="16"/>
    <n v="11"/>
    <n v="4.9000000000000002E-2"/>
  </r>
  <r>
    <x v="1"/>
    <n v="16"/>
    <n v="9"/>
    <n v="0.153"/>
  </r>
  <r>
    <x v="2"/>
    <n v="13"/>
    <n v="9"/>
    <n v="-0.46400000000000002"/>
  </r>
  <r>
    <x v="3"/>
    <n v="16"/>
    <n v="8"/>
    <n v="0.76100000000000001"/>
  </r>
  <r>
    <x v="4"/>
    <n v="12"/>
    <n v="8"/>
    <n v="0.629"/>
  </r>
  <r>
    <x v="5"/>
    <n v="16"/>
    <n v="7"/>
    <n v="-1.0999999999999999E-2"/>
  </r>
  <r>
    <x v="6"/>
    <n v="15"/>
    <n v="6"/>
    <n v="0.107"/>
  </r>
  <r>
    <x v="7"/>
    <n v="10"/>
    <n v="5"/>
    <n v="-8.6999999999999994E-2"/>
  </r>
  <r>
    <x v="8"/>
    <n v="12"/>
    <n v="4"/>
    <n v="-0.157"/>
  </r>
  <r>
    <x v="9"/>
    <n v="14"/>
    <n v="3"/>
    <n v="0.70499999999999996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">
  <r>
    <n v="1"/>
    <s v="Chennai Super Kings"/>
    <x v="0"/>
    <n v="16"/>
    <n v="11"/>
    <n v="5"/>
    <n v="22"/>
    <n v="4.9000000000000002E-2"/>
    <s v="Yes"/>
    <s v="Runner-Up"/>
    <n v="5"/>
    <s v="2010, 2011, 2018, 2021, 2023"/>
  </r>
  <r>
    <n v="2"/>
    <s v="Kolkata Knight Riders"/>
    <x v="1"/>
    <n v="16"/>
    <n v="9"/>
    <n v="7"/>
    <n v="18"/>
    <n v="0.153"/>
    <s v="Yes"/>
    <s v="Top 4"/>
    <n v="3"/>
    <s v="2012, 2014, 2024"/>
  </r>
  <r>
    <n v="3"/>
    <s v="Lucknow Super Giants"/>
    <x v="2"/>
    <n v="13"/>
    <n v="9"/>
    <n v="4"/>
    <n v="18"/>
    <n v="-0.46400000000000002"/>
    <s v="Yes"/>
    <s v="Top 4"/>
    <n v="0"/>
    <s v="None"/>
  </r>
  <r>
    <n v="4"/>
    <s v="Gujarat Titans"/>
    <x v="3"/>
    <n v="16"/>
    <n v="8"/>
    <n v="8"/>
    <n v="16"/>
    <n v="0.76100000000000001"/>
    <s v="Yes"/>
    <s v="Top 4"/>
    <n v="1"/>
    <s v="2022"/>
  </r>
  <r>
    <n v="5"/>
    <s v="Punjab Kings"/>
    <x v="4"/>
    <n v="12"/>
    <n v="8"/>
    <n v="4"/>
    <n v="16"/>
    <n v="0.629"/>
    <s v="No"/>
    <s v="Eliminated"/>
    <n v="0"/>
    <s v="None"/>
  </r>
  <r>
    <n v="6"/>
    <s v="Royal Challengers Bengaluru"/>
    <x v="5"/>
    <n v="16"/>
    <n v="7"/>
    <n v="9"/>
    <n v="14"/>
    <n v="-1.0999999999999999E-2"/>
    <s v="No"/>
    <s v="🏆 CHAMPIONS"/>
    <n v="1"/>
    <s v="2025"/>
  </r>
  <r>
    <n v="7"/>
    <s v="Mumbai Indians"/>
    <x v="6"/>
    <n v="15"/>
    <n v="6"/>
    <n v="9"/>
    <n v="12"/>
    <n v="0.107"/>
    <s v="No"/>
    <s v="Eliminated"/>
    <n v="5"/>
    <s v="2013, 2015, 2017, 2019, 2020"/>
  </r>
  <r>
    <n v="8"/>
    <s v="Sunrisers Hyderabad"/>
    <x v="7"/>
    <n v="10"/>
    <n v="5"/>
    <n v="5"/>
    <n v="10"/>
    <n v="-8.6999999999999994E-2"/>
    <s v="No"/>
    <s v="Eliminated"/>
    <n v="1"/>
    <s v="2016"/>
  </r>
  <r>
    <n v="9"/>
    <s v="Rajasthan Royals"/>
    <x v="8"/>
    <n v="12"/>
    <n v="4"/>
    <n v="8"/>
    <n v="8"/>
    <n v="-0.157"/>
    <s v="No"/>
    <s v="Eliminated"/>
    <n v="1"/>
    <s v="2008"/>
  </r>
  <r>
    <n v="10"/>
    <s v="Delhi Capitals"/>
    <x v="9"/>
    <n v="14"/>
    <n v="3"/>
    <n v="11"/>
    <n v="6"/>
    <n v="0.70499999999999996"/>
    <s v="No"/>
    <s v="Eliminated"/>
    <n v="0"/>
    <s v="None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IPL25-P001"/>
    <x v="0"/>
    <x v="0"/>
    <x v="0"/>
    <s v="Bangladeshi"/>
    <x v="0"/>
    <s v="Right-handed"/>
    <s v="Right-arm Fast"/>
    <n v="14"/>
    <n v="14"/>
    <n v="1"/>
    <n v="230"/>
    <n v="15"/>
    <n v="17.690000000000001"/>
    <n v="104.85"/>
    <n v="0"/>
    <n v="0"/>
    <n v="19"/>
    <n v="11"/>
    <n v="3"/>
    <n v="16"/>
    <n v="29.63"/>
    <n v="8.8800000000000008"/>
    <n v="17.78"/>
    <s v="5/35"/>
    <n v="0"/>
    <n v="40"/>
    <n v="12"/>
    <n v="0"/>
    <s v="Delhi Capitals"/>
    <s v="Won"/>
    <s v="IPL25-M006"/>
    <s v="No"/>
    <n v="1.5"/>
  </r>
  <r>
    <s v="IPL25-P002"/>
    <x v="1"/>
    <x v="0"/>
    <x v="0"/>
    <s v="Pakistani"/>
    <x v="0"/>
    <s v="Right-handed"/>
    <s v="Right-arm Medium"/>
    <n v="13"/>
    <n v="11"/>
    <n v="1"/>
    <n v="68"/>
    <n v="28"/>
    <n v="6.8"/>
    <n v="126"/>
    <n v="0"/>
    <n v="0"/>
    <n v="5"/>
    <n v="3"/>
    <n v="1"/>
    <n v="15"/>
    <n v="29.92"/>
    <n v="10.27"/>
    <n v="15.08"/>
    <s v="5/16"/>
    <n v="0"/>
    <n v="36.299999999999997"/>
    <n v="10"/>
    <n v="0"/>
    <s v="Gujarat Titans"/>
    <s v="Won"/>
    <s v="IPL25-M002"/>
    <s v="No"/>
    <n v="7.5"/>
  </r>
  <r>
    <s v="IPL25-P003"/>
    <x v="2"/>
    <x v="0"/>
    <x v="0"/>
    <s v="Indian"/>
    <x v="1"/>
    <s v="Right-handed"/>
    <s v="Right-arm Fast"/>
    <n v="10"/>
    <n v="8"/>
    <n v="3"/>
    <n v="116"/>
    <n v="70"/>
    <n v="23.2"/>
    <n v="120"/>
    <n v="0"/>
    <n v="0"/>
    <n v="9"/>
    <n v="11"/>
    <n v="0"/>
    <n v="12"/>
    <n v="30.24"/>
    <n v="6.71"/>
    <n v="18.28"/>
    <s v="4/19"/>
    <n v="0"/>
    <n v="37.4"/>
    <n v="6"/>
    <n v="0"/>
    <s v="Chennai Super Kings"/>
    <s v="Lost"/>
    <s v="IPL25-M032"/>
    <s v="No"/>
    <n v="5"/>
  </r>
  <r>
    <s v="IPL25-P004"/>
    <x v="3"/>
    <x v="0"/>
    <x v="0"/>
    <s v="South African"/>
    <x v="2"/>
    <s v="Left-handed"/>
    <s v="None"/>
    <n v="13"/>
    <n v="11"/>
    <n v="3"/>
    <n v="368"/>
    <n v="79"/>
    <n v="46"/>
    <n v="157.30000000000001"/>
    <n v="0"/>
    <n v="0"/>
    <n v="34"/>
    <n v="21"/>
    <n v="0"/>
    <n v="0"/>
    <s v="-"/>
    <s v="-"/>
    <s v="-"/>
    <s v="-"/>
    <n v="0"/>
    <n v="0"/>
    <n v="12"/>
    <n v="0"/>
    <s v="Delhi Capitals"/>
    <s v="Lost"/>
    <s v="IPL25-M030"/>
    <s v="No"/>
    <n v="15"/>
  </r>
  <r>
    <s v="IPL25-P005"/>
    <x v="4"/>
    <x v="0"/>
    <x v="0"/>
    <s v="South African"/>
    <x v="2"/>
    <s v="Right-handed"/>
    <s v="None"/>
    <n v="12"/>
    <n v="12"/>
    <n v="1"/>
    <n v="582"/>
    <n v="120"/>
    <n v="52.91"/>
    <n v="162.52000000000001"/>
    <n v="1"/>
    <n v="0"/>
    <n v="62"/>
    <n v="42"/>
    <n v="0"/>
    <n v="0"/>
    <s v="-"/>
    <s v="-"/>
    <s v="-"/>
    <s v="-"/>
    <n v="0"/>
    <n v="0"/>
    <n v="10"/>
    <n v="0"/>
    <s v="Rajasthan Royals"/>
    <s v="Lost"/>
    <s v="IPL25-M056"/>
    <s v="No"/>
    <n v="10"/>
  </r>
  <r>
    <s v="IPL25-P006"/>
    <x v="5"/>
    <x v="0"/>
    <x v="0"/>
    <s v="Indian"/>
    <x v="2"/>
    <s v="Left-handed"/>
    <s v="None"/>
    <n v="9"/>
    <n v="9"/>
    <n v="3"/>
    <n v="144"/>
    <n v="57"/>
    <n v="24"/>
    <n v="183.79"/>
    <n v="0"/>
    <n v="0"/>
    <n v="12"/>
    <n v="9"/>
    <n v="0"/>
    <n v="0"/>
    <s v="-"/>
    <s v="-"/>
    <s v="-"/>
    <s v="-"/>
    <n v="0"/>
    <n v="0"/>
    <n v="4"/>
    <n v="0"/>
    <s v="Chennai Super Kings"/>
    <s v="Lost"/>
    <s v="IPL25-M032"/>
    <s v="No"/>
    <n v="21"/>
  </r>
  <r>
    <s v="IPL25-P007"/>
    <x v="6"/>
    <x v="0"/>
    <x v="0"/>
    <s v="South African"/>
    <x v="0"/>
    <s v="Right-handed"/>
    <s v="Right-arm Off-spin"/>
    <n v="9"/>
    <n v="7"/>
    <n v="0"/>
    <n v="210"/>
    <n v="26"/>
    <n v="30"/>
    <n v="107.06"/>
    <n v="0"/>
    <n v="0"/>
    <n v="17"/>
    <n v="10"/>
    <n v="2"/>
    <n v="20"/>
    <n v="22.15"/>
    <n v="7.7"/>
    <n v="14.58"/>
    <s v="5/23"/>
    <n v="1"/>
    <n v="29.5"/>
    <n v="6"/>
    <n v="0"/>
    <s v="Punjab Kings"/>
    <s v="Lost"/>
    <s v="IPL25-M064"/>
    <s v="Yes"/>
    <n v="0.5"/>
  </r>
  <r>
    <s v="IPL25-P008"/>
    <x v="7"/>
    <x v="0"/>
    <x v="0"/>
    <s v="Indian"/>
    <x v="3"/>
    <s v="Right-handed"/>
    <s v="None"/>
    <n v="8"/>
    <n v="6"/>
    <n v="3"/>
    <n v="66"/>
    <n v="66"/>
    <n v="22"/>
    <n v="169.01"/>
    <n v="0"/>
    <n v="0"/>
    <n v="9"/>
    <n v="2"/>
    <n v="0"/>
    <n v="0"/>
    <s v="-"/>
    <s v="-"/>
    <s v="-"/>
    <s v="-"/>
    <n v="0"/>
    <n v="0"/>
    <n v="5"/>
    <n v="2"/>
    <s v="Delhi Capitals"/>
    <s v="Lost"/>
    <s v="IPL25-M030"/>
    <s v="No"/>
    <n v="0.2"/>
  </r>
  <r>
    <s v="IPL25-P009"/>
    <x v="8"/>
    <x v="0"/>
    <x v="0"/>
    <s v="Pakistani"/>
    <x v="2"/>
    <s v="Right-handed"/>
    <s v="None"/>
    <n v="8"/>
    <n v="8"/>
    <n v="3"/>
    <n v="170"/>
    <n v="56"/>
    <n v="34"/>
    <n v="174.15"/>
    <n v="0"/>
    <n v="0"/>
    <n v="20"/>
    <n v="20"/>
    <n v="0"/>
    <n v="0"/>
    <s v="-"/>
    <s v="-"/>
    <s v="-"/>
    <s v="-"/>
    <n v="0"/>
    <n v="0"/>
    <n v="8"/>
    <n v="0"/>
    <s v="Chennai Super Kings"/>
    <s v="Won"/>
    <s v="IPL25-M001"/>
    <s v="No"/>
    <n v="6"/>
  </r>
  <r>
    <s v="IPL25-P010"/>
    <x v="9"/>
    <x v="0"/>
    <x v="0"/>
    <s v="Indian"/>
    <x v="1"/>
    <s v="Right-handed"/>
    <s v="Left-arm Fast"/>
    <n v="10"/>
    <n v="8"/>
    <n v="1"/>
    <n v="351"/>
    <n v="102"/>
    <n v="50.14"/>
    <n v="143.21"/>
    <n v="0"/>
    <n v="0"/>
    <n v="31"/>
    <n v="22"/>
    <n v="0"/>
    <n v="16"/>
    <n v="19.25"/>
    <n v="7.76"/>
    <n v="15.76"/>
    <s v="4/29"/>
    <n v="0"/>
    <n v="29.7"/>
    <n v="10"/>
    <n v="0"/>
    <s v="Kolkata Knight Riders"/>
    <s v="Won"/>
    <s v="IPL25-M055"/>
    <s v="No"/>
    <n v="0.5"/>
  </r>
  <r>
    <s v="IPL25-P011"/>
    <x v="10"/>
    <x v="0"/>
    <x v="0"/>
    <s v="Indian"/>
    <x v="2"/>
    <s v="Left-handed"/>
    <s v="None"/>
    <n v="14"/>
    <n v="12"/>
    <n v="3"/>
    <n v="356"/>
    <n v="78"/>
    <n v="39.56"/>
    <n v="158.02000000000001"/>
    <n v="0"/>
    <n v="0"/>
    <n v="47"/>
    <n v="21"/>
    <n v="0"/>
    <n v="0"/>
    <s v="-"/>
    <s v="-"/>
    <s v="-"/>
    <s v="-"/>
    <n v="0"/>
    <n v="0"/>
    <n v="13"/>
    <n v="0"/>
    <s v="Kolkata Knight Riders"/>
    <s v="Won"/>
    <s v="IPL25-M055"/>
    <s v="No"/>
    <n v="3"/>
  </r>
  <r>
    <s v="IPL25-P012"/>
    <x v="11"/>
    <x v="0"/>
    <x v="0"/>
    <s v="Indian"/>
    <x v="1"/>
    <s v="Right-handed"/>
    <s v="Left-arm Spin"/>
    <n v="13"/>
    <n v="11"/>
    <n v="3"/>
    <n v="386"/>
    <n v="39"/>
    <n v="48.25"/>
    <n v="121.21"/>
    <n v="0"/>
    <n v="0"/>
    <n v="45"/>
    <n v="23"/>
    <n v="0"/>
    <n v="19"/>
    <n v="26.58"/>
    <n v="8.57"/>
    <n v="18.95"/>
    <s v="4/19"/>
    <n v="0"/>
    <n v="47.6"/>
    <n v="6"/>
    <n v="0"/>
    <s v="Royal Challengers Bengaluru"/>
    <s v="Won"/>
    <s v="IPL25-M040"/>
    <s v="No"/>
    <n v="0.75"/>
  </r>
  <r>
    <s v="IPL25-P013"/>
    <x v="12"/>
    <x v="0"/>
    <x v="0"/>
    <s v="Indian"/>
    <x v="0"/>
    <s v="Right-handed"/>
    <s v="Right-arm Leg-spin"/>
    <n v="11"/>
    <n v="9"/>
    <n v="1"/>
    <n v="260"/>
    <n v="5"/>
    <n v="32.5"/>
    <n v="116.16"/>
    <n v="0"/>
    <n v="0"/>
    <n v="21"/>
    <n v="13"/>
    <n v="2"/>
    <n v="17"/>
    <n v="23.84"/>
    <n v="10.19"/>
    <n v="19.34"/>
    <s v="2/27"/>
    <n v="0"/>
    <n v="35"/>
    <n v="9"/>
    <n v="0"/>
    <s v="Gujarat Titans"/>
    <s v="Lost"/>
    <s v="IPL25-M008"/>
    <s v="No"/>
    <n v="0.2"/>
  </r>
  <r>
    <s v="IPL25-P014"/>
    <x v="13"/>
    <x v="0"/>
    <x v="0"/>
    <s v="Indian"/>
    <x v="3"/>
    <s v="Left-handed"/>
    <s v="None"/>
    <n v="11"/>
    <n v="9"/>
    <n v="1"/>
    <n v="174"/>
    <n v="48"/>
    <n v="21.75"/>
    <n v="176.45"/>
    <n v="0"/>
    <n v="0"/>
    <n v="16"/>
    <n v="19"/>
    <n v="0"/>
    <n v="0"/>
    <s v="-"/>
    <s v="-"/>
    <s v="-"/>
    <s v="-"/>
    <n v="0"/>
    <n v="0"/>
    <n v="9"/>
    <n v="2"/>
    <s v="Royal Challengers Bengaluru"/>
    <s v="Won"/>
    <s v="IPL25-M058"/>
    <s v="No"/>
    <n v="15"/>
  </r>
  <r>
    <s v="IPL25-P015"/>
    <x v="14"/>
    <x v="0"/>
    <x v="0"/>
    <s v="Indian"/>
    <x v="0"/>
    <s v="Left-handed"/>
    <s v="Right-arm Medium"/>
    <n v="10"/>
    <n v="9"/>
    <n v="3"/>
    <n v="258"/>
    <n v="14"/>
    <n v="43"/>
    <n v="103.33"/>
    <n v="0"/>
    <n v="0"/>
    <n v="21"/>
    <n v="12"/>
    <n v="2"/>
    <n v="14"/>
    <n v="21.07"/>
    <n v="9.99"/>
    <n v="14.76"/>
    <s v="4/38"/>
    <n v="0"/>
    <n v="35.799999999999997"/>
    <n v="2"/>
    <n v="0"/>
    <s v="Gujarat Titans"/>
    <s v="Won"/>
    <s v="IPL25-M002"/>
    <s v="Yes"/>
    <n v="2"/>
  </r>
  <r>
    <s v="IPL25-P016"/>
    <x v="15"/>
    <x v="1"/>
    <x v="1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017"/>
    <x v="16"/>
    <x v="1"/>
    <x v="1"/>
    <s v="Indian"/>
    <x v="2"/>
    <s v="Left-handed"/>
    <s v="None"/>
    <n v="10"/>
    <n v="10"/>
    <n v="2"/>
    <n v="234"/>
    <n v="95"/>
    <n v="29.25"/>
    <n v="119.12"/>
    <n v="0"/>
    <n v="0"/>
    <n v="23"/>
    <n v="26"/>
    <n v="0"/>
    <n v="0"/>
    <s v="-"/>
    <s v="-"/>
    <s v="-"/>
    <s v="-"/>
    <n v="0"/>
    <n v="0"/>
    <n v="10"/>
    <n v="0"/>
    <s v="Lucknow Super Giants"/>
    <s v="Won"/>
    <s v="IPL25-M046"/>
    <s v="Yes"/>
    <n v="0.4"/>
  </r>
  <r>
    <s v="IPL25-P018"/>
    <x v="17"/>
    <x v="1"/>
    <x v="1"/>
    <s v="Pakistani"/>
    <x v="1"/>
    <s v="Left-handed"/>
    <s v="Right-arm Fast"/>
    <n v="9"/>
    <n v="7"/>
    <n v="1"/>
    <n v="124"/>
    <n v="76"/>
    <n v="20.67"/>
    <n v="122.36"/>
    <n v="0"/>
    <n v="0"/>
    <n v="12"/>
    <n v="7"/>
    <n v="0"/>
    <n v="10"/>
    <n v="17.79"/>
    <n v="8.09"/>
    <n v="15.26"/>
    <s v="5/36"/>
    <n v="0"/>
    <n v="26.9"/>
    <n v="2"/>
    <n v="0"/>
    <s v="Punjab Kings"/>
    <s v="Lost"/>
    <s v="IPL25-M070"/>
    <s v="No"/>
    <n v="6"/>
  </r>
  <r>
    <s v="IPL25-P019"/>
    <x v="18"/>
    <x v="1"/>
    <x v="1"/>
    <s v="Indian"/>
    <x v="0"/>
    <s v="Right-handed"/>
    <s v="Left-arm Fast"/>
    <n v="14"/>
    <n v="14"/>
    <n v="2"/>
    <n v="293"/>
    <n v="8"/>
    <n v="24.42"/>
    <n v="106.17"/>
    <n v="0"/>
    <n v="0"/>
    <n v="24"/>
    <n v="14"/>
    <n v="0"/>
    <n v="18"/>
    <n v="14.73"/>
    <n v="6.84"/>
    <n v="13.41"/>
    <s v="5/14"/>
    <n v="0"/>
    <n v="36.200000000000003"/>
    <n v="13"/>
    <n v="0"/>
    <s v="Gujarat Titans"/>
    <s v="Lost"/>
    <s v="IPL25-M063"/>
    <s v="No"/>
    <n v="0.5"/>
  </r>
  <r>
    <s v="IPL25-P020"/>
    <x v="19"/>
    <x v="1"/>
    <x v="1"/>
    <s v="Indian"/>
    <x v="2"/>
    <s v="Left-handed"/>
    <s v="None"/>
    <n v="9"/>
    <n v="9"/>
    <n v="3"/>
    <n v="185"/>
    <n v="64"/>
    <n v="30.83"/>
    <n v="176.77"/>
    <n v="0"/>
    <n v="0"/>
    <n v="17"/>
    <n v="7"/>
    <n v="0"/>
    <n v="0"/>
    <s v="-"/>
    <s v="-"/>
    <s v="-"/>
    <s v="-"/>
    <n v="0"/>
    <n v="0"/>
    <n v="9"/>
    <n v="0"/>
    <s v="Royal Challengers Bengaluru"/>
    <s v="Won"/>
    <s v="IPL25-M038"/>
    <s v="No"/>
    <n v="1"/>
  </r>
  <r>
    <s v="IPL25-P021"/>
    <x v="20"/>
    <x v="1"/>
    <x v="1"/>
    <s v="Indian"/>
    <x v="1"/>
    <s v="Right-handed"/>
    <s v="Left-arm Fast"/>
    <n v="13"/>
    <n v="12"/>
    <n v="1"/>
    <n v="523"/>
    <n v="88"/>
    <n v="47.55"/>
    <n v="129.71"/>
    <n v="1"/>
    <n v="0"/>
    <n v="61"/>
    <n v="34"/>
    <n v="0"/>
    <n v="12"/>
    <n v="22.7"/>
    <n v="8.8000000000000007"/>
    <n v="17.95"/>
    <s v="5/39"/>
    <n v="0"/>
    <n v="46.7"/>
    <n v="10"/>
    <n v="0"/>
    <s v="Punjab Kings"/>
    <s v="Lost"/>
    <s v="IPL25-M070"/>
    <s v="No"/>
    <n v="5"/>
  </r>
  <r>
    <s v="IPL25-P022"/>
    <x v="21"/>
    <x v="1"/>
    <x v="1"/>
    <s v="Indian"/>
    <x v="2"/>
    <s v="Right-handed"/>
    <s v="None"/>
    <n v="12"/>
    <n v="12"/>
    <n v="2"/>
    <n v="203"/>
    <n v="111"/>
    <n v="20.3"/>
    <n v="163.82"/>
    <n v="0"/>
    <n v="0"/>
    <n v="27"/>
    <n v="21"/>
    <n v="1"/>
    <n v="0"/>
    <s v="-"/>
    <s v="-"/>
    <s v="-"/>
    <s v="-"/>
    <n v="0"/>
    <n v="0"/>
    <n v="5"/>
    <n v="0"/>
    <s v="Gujarat Titans"/>
    <s v="Lost"/>
    <s v="IPL25-M063"/>
    <s v="No"/>
    <n v="2"/>
  </r>
  <r>
    <s v="IPL25-P023"/>
    <x v="22"/>
    <x v="1"/>
    <x v="1"/>
    <s v="English"/>
    <x v="3"/>
    <s v="Left-handed"/>
    <s v="None"/>
    <n v="8"/>
    <n v="8"/>
    <n v="0"/>
    <n v="216"/>
    <n v="36"/>
    <n v="27"/>
    <n v="169.85"/>
    <n v="0"/>
    <n v="0"/>
    <n v="21"/>
    <n v="23"/>
    <n v="0"/>
    <n v="0"/>
    <s v="-"/>
    <s v="-"/>
    <s v="-"/>
    <s v="-"/>
    <n v="0"/>
    <n v="0"/>
    <n v="6"/>
    <n v="2"/>
    <s v="Mumbai Indians"/>
    <s v="Won"/>
    <s v="IPL25-M032"/>
    <s v="No"/>
    <n v="3"/>
  </r>
  <r>
    <s v="IPL25-P024"/>
    <x v="23"/>
    <x v="1"/>
    <x v="1"/>
    <s v="English"/>
    <x v="1"/>
    <s v="Right-handed"/>
    <s v="Right-arm Fast"/>
    <n v="8"/>
    <n v="8"/>
    <n v="2"/>
    <n v="111"/>
    <n v="82"/>
    <n v="18.5"/>
    <n v="150.5"/>
    <n v="0"/>
    <n v="0"/>
    <n v="12"/>
    <n v="6"/>
    <n v="0"/>
    <n v="15"/>
    <n v="33.26"/>
    <n v="7.35"/>
    <n v="14.54"/>
    <s v="4/14"/>
    <n v="0"/>
    <n v="27"/>
    <n v="2"/>
    <n v="0"/>
    <s v="Kolkata Knight Riders"/>
    <s v="Won"/>
    <s v="IPL25-M014"/>
    <s v="Yes"/>
    <n v="5"/>
  </r>
  <r>
    <s v="IPL25-P025"/>
    <x v="24"/>
    <x v="1"/>
    <x v="1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026"/>
    <x v="25"/>
    <x v="1"/>
    <x v="1"/>
    <s v="Afghan"/>
    <x v="2"/>
    <s v="Left-handed"/>
    <s v="None"/>
    <n v="11"/>
    <n v="9"/>
    <n v="0"/>
    <n v="254"/>
    <n v="100"/>
    <n v="28.22"/>
    <n v="148.43"/>
    <n v="0"/>
    <n v="0"/>
    <n v="26"/>
    <n v="23"/>
    <n v="0"/>
    <n v="0"/>
    <s v="-"/>
    <s v="-"/>
    <s v="-"/>
    <s v="-"/>
    <n v="0"/>
    <n v="0"/>
    <n v="9"/>
    <n v="0"/>
    <s v="Rajasthan Royals"/>
    <s v="Won"/>
    <s v="IPL25-M035"/>
    <s v="No"/>
    <n v="5"/>
  </r>
  <r>
    <s v="IPL25-P027"/>
    <x v="26"/>
    <x v="1"/>
    <x v="1"/>
    <s v="English"/>
    <x v="1"/>
    <s v="Left-handed"/>
    <s v="Right-arm Leg-spin"/>
    <n v="9"/>
    <n v="7"/>
    <n v="1"/>
    <n v="268"/>
    <n v="74"/>
    <n v="44.67"/>
    <n v="167.1"/>
    <n v="0"/>
    <n v="0"/>
    <n v="35"/>
    <n v="16"/>
    <n v="0"/>
    <n v="9"/>
    <n v="33.83"/>
    <n v="8.3000000000000007"/>
    <n v="19.420000000000002"/>
    <s v="2/39"/>
    <n v="0"/>
    <n v="32.9"/>
    <n v="6"/>
    <n v="0"/>
    <s v="Lucknow Super Giants"/>
    <s v="Won"/>
    <s v="IPL25-M046"/>
    <s v="No"/>
    <n v="0.4"/>
  </r>
  <r>
    <s v="IPL25-P028"/>
    <x v="27"/>
    <x v="1"/>
    <x v="1"/>
    <s v="Bangladeshi"/>
    <x v="2"/>
    <s v="Right-handed"/>
    <s v="None"/>
    <n v="12"/>
    <n v="10"/>
    <n v="3"/>
    <n v="161"/>
    <n v="30"/>
    <n v="23"/>
    <n v="118.74"/>
    <n v="0"/>
    <n v="0"/>
    <n v="14"/>
    <n v="14"/>
    <n v="0"/>
    <n v="0"/>
    <s v="-"/>
    <s v="-"/>
    <s v="-"/>
    <s v="-"/>
    <n v="0"/>
    <n v="0"/>
    <n v="2"/>
    <n v="0"/>
    <s v="Kolkata Knight Riders"/>
    <s v="Won"/>
    <s v="IPL25-M069"/>
    <s v="No"/>
    <n v="4"/>
  </r>
  <r>
    <s v="IPL25-P029"/>
    <x v="28"/>
    <x v="1"/>
    <x v="1"/>
    <s v="Pakistani"/>
    <x v="2"/>
    <s v="Left-handed"/>
    <s v="None"/>
    <n v="10"/>
    <n v="8"/>
    <n v="3"/>
    <n v="261"/>
    <n v="65"/>
    <n v="52.2"/>
    <n v="128.86000000000001"/>
    <n v="0"/>
    <n v="0"/>
    <n v="35"/>
    <n v="13"/>
    <n v="0"/>
    <n v="0"/>
    <s v="-"/>
    <s v="-"/>
    <s v="-"/>
    <s v="-"/>
    <n v="0"/>
    <n v="0"/>
    <n v="3"/>
    <n v="0"/>
    <s v="Gujarat Titans"/>
    <s v="Won"/>
    <s v="IPL25-M022"/>
    <s v="No"/>
    <n v="0.4"/>
  </r>
  <r>
    <s v="IPL25-P030"/>
    <x v="29"/>
    <x v="1"/>
    <x v="1"/>
    <s v="Indian"/>
    <x v="0"/>
    <s v="Left-handed"/>
    <s v="Right-arm Medium"/>
    <n v="13"/>
    <n v="13"/>
    <n v="0"/>
    <n v="124"/>
    <n v="10"/>
    <n v="9.5399999999999991"/>
    <n v="89.3"/>
    <n v="0"/>
    <n v="0"/>
    <n v="10"/>
    <n v="6"/>
    <n v="3"/>
    <n v="12"/>
    <n v="34.450000000000003"/>
    <n v="6.77"/>
    <n v="12.22"/>
    <s v="3/13"/>
    <n v="0"/>
    <n v="47.4"/>
    <n v="6"/>
    <n v="0"/>
    <s v="Kolkata Knight Riders"/>
    <s v="Won"/>
    <s v="IPL25-M014"/>
    <s v="Yes"/>
    <n v="4"/>
  </r>
  <r>
    <s v="IPL25-P031"/>
    <x v="30"/>
    <x v="2"/>
    <x v="2"/>
    <s v="Indian"/>
    <x v="0"/>
    <s v="Left-handed"/>
    <s v="Left-arm Medium"/>
    <n v="12"/>
    <n v="10"/>
    <n v="0"/>
    <n v="21"/>
    <n v="33"/>
    <n v="2.1"/>
    <n v="121.91"/>
    <n v="0"/>
    <n v="0"/>
    <n v="1"/>
    <n v="1"/>
    <n v="3"/>
    <n v="4"/>
    <n v="26.93"/>
    <n v="8.42"/>
    <n v="10.94"/>
    <s v="3/36"/>
    <n v="0"/>
    <n v="33.799999999999997"/>
    <n v="9"/>
    <n v="0"/>
    <s v="Delhi Capitals"/>
    <s v="Won"/>
    <s v="IPL25-M053"/>
    <s v="No"/>
    <n v="18"/>
  </r>
  <r>
    <s v="IPL25-P032"/>
    <x v="31"/>
    <x v="2"/>
    <x v="2"/>
    <s v="New Zealand"/>
    <x v="1"/>
    <s v="Left-handed"/>
    <s v="Right-arm Medium"/>
    <n v="13"/>
    <n v="13"/>
    <n v="1"/>
    <n v="551"/>
    <n v="44"/>
    <n v="45.92"/>
    <n v="170.77"/>
    <n v="1"/>
    <n v="0"/>
    <n v="49"/>
    <n v="39"/>
    <n v="1"/>
    <n v="18"/>
    <n v="20.23"/>
    <n v="7.37"/>
    <n v="10.32"/>
    <s v="2/11"/>
    <n v="0"/>
    <n v="35.1"/>
    <n v="8"/>
    <n v="0"/>
    <s v="Gujarat Titans"/>
    <s v="Won"/>
    <s v="IPL25-M041"/>
    <s v="No"/>
    <n v="3"/>
  </r>
  <r>
    <s v="IPL25-P033"/>
    <x v="32"/>
    <x v="2"/>
    <x v="2"/>
    <s v="Afghan"/>
    <x v="2"/>
    <s v="Right-handed"/>
    <s v="None"/>
    <n v="9"/>
    <n v="9"/>
    <n v="1"/>
    <n v="236"/>
    <n v="92"/>
    <n v="29.5"/>
    <n v="178.87"/>
    <n v="0"/>
    <n v="0"/>
    <n v="32"/>
    <n v="23"/>
    <n v="0"/>
    <n v="0"/>
    <s v="-"/>
    <s v="-"/>
    <s v="-"/>
    <s v="-"/>
    <n v="0"/>
    <n v="0"/>
    <n v="2"/>
    <n v="0"/>
    <s v="Delhi Capitals"/>
    <s v="Won"/>
    <s v="IPL25-M053"/>
    <s v="No"/>
    <n v="7.5"/>
  </r>
  <r>
    <s v="IPL25-P034"/>
    <x v="33"/>
    <x v="2"/>
    <x v="2"/>
    <s v="Indian"/>
    <x v="2"/>
    <s v="Right-handed"/>
    <s v="None"/>
    <n v="11"/>
    <n v="11"/>
    <n v="3"/>
    <n v="234"/>
    <n v="101"/>
    <n v="29.25"/>
    <n v="183.3"/>
    <n v="0"/>
    <n v="0"/>
    <n v="25"/>
    <n v="16"/>
    <n v="0"/>
    <n v="0"/>
    <s v="-"/>
    <s v="-"/>
    <s v="-"/>
    <s v="-"/>
    <n v="0"/>
    <n v="0"/>
    <n v="7"/>
    <n v="0"/>
    <s v="Delhi Capitals"/>
    <s v="Won"/>
    <s v="IPL25-M013"/>
    <s v="No"/>
    <n v="1"/>
  </r>
  <r>
    <s v="IPL25-P035"/>
    <x v="34"/>
    <x v="2"/>
    <x v="2"/>
    <s v="Indian"/>
    <x v="2"/>
    <s v="Right-handed"/>
    <s v="None"/>
    <n v="11"/>
    <n v="11"/>
    <n v="3"/>
    <n v="341"/>
    <n v="30"/>
    <n v="42.62"/>
    <n v="139.97999999999999"/>
    <n v="0"/>
    <n v="0"/>
    <n v="39"/>
    <n v="40"/>
    <n v="0"/>
    <n v="0"/>
    <s v="-"/>
    <s v="-"/>
    <s v="-"/>
    <s v="-"/>
    <n v="0"/>
    <n v="0"/>
    <n v="8"/>
    <n v="0"/>
    <s v="Punjab Kings"/>
    <s v="Won"/>
    <s v="IPL25-M003"/>
    <s v="No"/>
    <n v="0.2"/>
  </r>
  <r>
    <s v="IPL25-P036"/>
    <x v="35"/>
    <x v="2"/>
    <x v="2"/>
    <s v="Indian"/>
    <x v="1"/>
    <s v="Left-handed"/>
    <s v="Right-arm Fast"/>
    <n v="11"/>
    <n v="10"/>
    <n v="3"/>
    <n v="128"/>
    <n v="113"/>
    <n v="18.29"/>
    <n v="159.63999999999999"/>
    <n v="0"/>
    <n v="0"/>
    <n v="11"/>
    <n v="7"/>
    <n v="0"/>
    <n v="13"/>
    <n v="25.11"/>
    <n v="9.69"/>
    <n v="15.6"/>
    <s v="3/34"/>
    <n v="0"/>
    <n v="41.5"/>
    <n v="5"/>
    <n v="0"/>
    <s v="Mumbai Indians"/>
    <s v="Lost"/>
    <s v="IPL25-M058"/>
    <s v="No"/>
    <n v="0.75"/>
  </r>
  <r>
    <s v="IPL25-P037"/>
    <x v="36"/>
    <x v="2"/>
    <x v="2"/>
    <s v="English"/>
    <x v="3"/>
    <s v="Left-handed"/>
    <s v="None"/>
    <n v="12"/>
    <n v="12"/>
    <n v="2"/>
    <n v="185"/>
    <n v="83"/>
    <n v="18.5"/>
    <n v="124.43"/>
    <n v="0"/>
    <n v="0"/>
    <n v="16"/>
    <n v="17"/>
    <n v="0"/>
    <n v="0"/>
    <s v="-"/>
    <s v="-"/>
    <s v="-"/>
    <s v="-"/>
    <n v="0"/>
    <n v="0"/>
    <n v="8"/>
    <n v="4"/>
    <s v="Punjab Kings"/>
    <s v="Won"/>
    <s v="IPL25-M045"/>
    <s v="No"/>
    <n v="3"/>
  </r>
  <r>
    <s v="IPL25-P038"/>
    <x v="37"/>
    <x v="2"/>
    <x v="2"/>
    <s v="Indian"/>
    <x v="2"/>
    <s v="Right-handed"/>
    <s v="None"/>
    <n v="11"/>
    <n v="9"/>
    <n v="2"/>
    <n v="280"/>
    <n v="69"/>
    <n v="40"/>
    <n v="133.51"/>
    <n v="0"/>
    <n v="0"/>
    <n v="30"/>
    <n v="27"/>
    <n v="0"/>
    <n v="0"/>
    <s v="-"/>
    <s v="-"/>
    <s v="-"/>
    <s v="-"/>
    <n v="0"/>
    <n v="0"/>
    <n v="11"/>
    <n v="0"/>
    <s v="Gujarat Titans"/>
    <s v="Won"/>
    <s v="IPL25-M041"/>
    <s v="No"/>
    <n v="6"/>
  </r>
  <r>
    <s v="IPL25-P039"/>
    <x v="38"/>
    <x v="2"/>
    <x v="2"/>
    <s v="Indian"/>
    <x v="1"/>
    <s v="Left-handed"/>
    <s v="Right-arm Leg-spin"/>
    <n v="13"/>
    <n v="13"/>
    <n v="1"/>
    <n v="617"/>
    <n v="65"/>
    <n v="51.42"/>
    <n v="128"/>
    <n v="0"/>
    <n v="0"/>
    <n v="62"/>
    <n v="58"/>
    <n v="0"/>
    <n v="11"/>
    <n v="19.05"/>
    <n v="7.93"/>
    <n v="14.43"/>
    <s v="5/24"/>
    <n v="0"/>
    <n v="40.9"/>
    <n v="10"/>
    <n v="0"/>
    <s v="Sunrisers Hyderabad"/>
    <s v="Lost"/>
    <s v="IPL25-M011"/>
    <s v="No"/>
    <n v="12.5"/>
  </r>
  <r>
    <s v="IPL25-P040"/>
    <x v="39"/>
    <x v="2"/>
    <x v="2"/>
    <s v="Indian"/>
    <x v="3"/>
    <s v="Right-handed"/>
    <s v="None"/>
    <n v="12"/>
    <n v="11"/>
    <n v="0"/>
    <n v="306"/>
    <n v="66"/>
    <n v="27.82"/>
    <n v="156.09"/>
    <n v="0"/>
    <n v="0"/>
    <n v="35"/>
    <n v="13"/>
    <n v="0"/>
    <n v="0"/>
    <s v="-"/>
    <s v="-"/>
    <s v="-"/>
    <s v="-"/>
    <n v="0"/>
    <n v="0"/>
    <n v="8"/>
    <n v="5"/>
    <s v="Delhi Capitals"/>
    <s v="Won"/>
    <s v="IPL25-M053"/>
    <s v="No"/>
    <n v="10"/>
  </r>
  <r>
    <s v="IPL25-P041"/>
    <x v="40"/>
    <x v="2"/>
    <x v="2"/>
    <s v="Indian"/>
    <x v="1"/>
    <s v="Left-handed"/>
    <s v="Right-arm Fast"/>
    <n v="10"/>
    <n v="9"/>
    <n v="0"/>
    <n v="355"/>
    <n v="40"/>
    <n v="39.44"/>
    <n v="126.55"/>
    <n v="0"/>
    <n v="0"/>
    <n v="38"/>
    <n v="39"/>
    <n v="0"/>
    <n v="14"/>
    <n v="16.98"/>
    <n v="7.04"/>
    <n v="10.07"/>
    <s v="5/28"/>
    <n v="0"/>
    <n v="30.6"/>
    <n v="2"/>
    <n v="0"/>
    <s v="Punjab Kings"/>
    <s v="Won"/>
    <s v="IPL25-M003"/>
    <s v="No"/>
    <n v="0.75"/>
  </r>
  <r>
    <s v="IPL25-P042"/>
    <x v="41"/>
    <x v="2"/>
    <x v="2"/>
    <s v="Bangladeshi"/>
    <x v="2"/>
    <s v="Left-handed"/>
    <s v="None"/>
    <n v="13"/>
    <n v="12"/>
    <n v="3"/>
    <n v="320"/>
    <n v="107"/>
    <n v="35.56"/>
    <n v="119.85"/>
    <n v="0"/>
    <n v="0"/>
    <n v="41"/>
    <n v="24"/>
    <n v="0"/>
    <n v="0"/>
    <s v="-"/>
    <s v="-"/>
    <s v="-"/>
    <s v="-"/>
    <n v="0"/>
    <n v="0"/>
    <n v="13"/>
    <n v="0"/>
    <s v="Punjab Kings"/>
    <s v="Won"/>
    <s v="IPL25-M045"/>
    <s v="No"/>
    <n v="7.5"/>
  </r>
  <r>
    <s v="IPL25-P043"/>
    <x v="42"/>
    <x v="2"/>
    <x v="2"/>
    <s v="Indian"/>
    <x v="1"/>
    <s v="Right-handed"/>
    <s v="Right-arm Medium"/>
    <n v="13"/>
    <n v="13"/>
    <n v="1"/>
    <n v="645"/>
    <n v="54"/>
    <n v="53.75"/>
    <n v="147.24"/>
    <n v="1"/>
    <n v="0"/>
    <n v="84"/>
    <n v="49"/>
    <n v="0"/>
    <n v="6"/>
    <n v="34.61"/>
    <n v="7.28"/>
    <n v="18.61"/>
    <s v="3/20"/>
    <n v="0"/>
    <n v="42.9"/>
    <n v="8"/>
    <n v="0"/>
    <s v="Delhi Capitals"/>
    <s v="Won"/>
    <s v="IPL25-M013"/>
    <s v="No"/>
    <n v="2"/>
  </r>
  <r>
    <s v="IPL25-P044"/>
    <x v="43"/>
    <x v="2"/>
    <x v="2"/>
    <s v="Indian"/>
    <x v="1"/>
    <s v="Right-handed"/>
    <s v="Right-arm Fast"/>
    <n v="12"/>
    <n v="11"/>
    <n v="1"/>
    <n v="180"/>
    <n v="54"/>
    <n v="18"/>
    <n v="184.52"/>
    <n v="0"/>
    <n v="0"/>
    <n v="22"/>
    <n v="20"/>
    <n v="0"/>
    <n v="9"/>
    <n v="23.67"/>
    <n v="6.84"/>
    <n v="21.64"/>
    <s v="5/15"/>
    <n v="0"/>
    <n v="41.9"/>
    <n v="12"/>
    <n v="0"/>
    <s v="Lucknow Super Giants"/>
    <s v="Lost"/>
    <s v="IPL25-M036"/>
    <s v="No"/>
    <n v="18"/>
  </r>
  <r>
    <s v="IPL25-P045"/>
    <x v="44"/>
    <x v="2"/>
    <x v="2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046"/>
    <x v="45"/>
    <x v="3"/>
    <x v="3"/>
    <s v="Australian"/>
    <x v="0"/>
    <s v="Right-handed"/>
    <s v="Left-arm Medium"/>
    <n v="11"/>
    <n v="11"/>
    <n v="0"/>
    <n v="282"/>
    <n v="36"/>
    <n v="25.64"/>
    <n v="126.65"/>
    <n v="0"/>
    <n v="0"/>
    <n v="23"/>
    <n v="14"/>
    <n v="1"/>
    <n v="12"/>
    <n v="15"/>
    <n v="8.02"/>
    <n v="10.6"/>
    <s v="5/22"/>
    <n v="0"/>
    <n v="40.4"/>
    <n v="4"/>
    <n v="0"/>
    <s v="Mumbai Indians"/>
    <s v="Won"/>
    <s v="IPL25-M020"/>
    <s v="No"/>
    <n v="7.5"/>
  </r>
  <r>
    <s v="IPL25-P047"/>
    <x v="46"/>
    <x v="3"/>
    <x v="3"/>
    <s v="Indian"/>
    <x v="1"/>
    <s v="Left-handed"/>
    <s v="Right-arm Off-spin"/>
    <n v="14"/>
    <n v="14"/>
    <n v="0"/>
    <n v="259"/>
    <n v="112"/>
    <n v="18.5"/>
    <n v="163.21"/>
    <n v="0"/>
    <n v="0"/>
    <n v="28"/>
    <n v="17"/>
    <n v="0"/>
    <n v="20"/>
    <n v="15.3"/>
    <n v="7.37"/>
    <n v="18.39"/>
    <s v="5/27"/>
    <n v="0"/>
    <n v="50"/>
    <n v="15"/>
    <n v="0"/>
    <s v="Delhi Capitals"/>
    <s v="Won"/>
    <s v="IPL25-M023"/>
    <s v="No"/>
    <n v="15"/>
  </r>
  <r>
    <s v="IPL25-P048"/>
    <x v="47"/>
    <x v="3"/>
    <x v="3"/>
    <s v="Bangladeshi"/>
    <x v="1"/>
    <s v="Left-handed"/>
    <s v="Right-arm Leg-spin"/>
    <n v="10"/>
    <n v="10"/>
    <n v="3"/>
    <n v="207"/>
    <n v="46"/>
    <n v="29.57"/>
    <n v="155.16999999999999"/>
    <n v="0"/>
    <n v="0"/>
    <n v="22"/>
    <n v="11"/>
    <n v="0"/>
    <n v="2"/>
    <n v="17.36"/>
    <n v="9.74"/>
    <n v="18.89"/>
    <s v="2/37"/>
    <n v="0"/>
    <n v="25.7"/>
    <n v="6"/>
    <n v="0"/>
    <s v="Sunrisers Hyderabad"/>
    <s v="Won"/>
    <s v="IPL25-M026"/>
    <s v="No"/>
    <n v="0.4"/>
  </r>
  <r>
    <s v="IPL25-P049"/>
    <x v="48"/>
    <x v="3"/>
    <x v="3"/>
    <s v="Sri Lankan"/>
    <x v="3"/>
    <s v="Left-handed"/>
    <s v="None"/>
    <n v="10"/>
    <n v="8"/>
    <n v="3"/>
    <n v="140"/>
    <n v="81"/>
    <n v="28"/>
    <n v="132.13"/>
    <n v="0"/>
    <n v="0"/>
    <n v="18"/>
    <n v="6"/>
    <n v="0"/>
    <n v="0"/>
    <s v="-"/>
    <s v="-"/>
    <s v="-"/>
    <s v="-"/>
    <n v="0"/>
    <n v="0"/>
    <n v="8"/>
    <n v="2"/>
    <s v="Royal Challengers Bengaluru"/>
    <s v="Won"/>
    <s v="IPL25-M057"/>
    <s v="No"/>
    <n v="1"/>
  </r>
  <r>
    <s v="IPL25-P050"/>
    <x v="49"/>
    <x v="3"/>
    <x v="3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051"/>
    <x v="50"/>
    <x v="3"/>
    <x v="3"/>
    <s v="Indian"/>
    <x v="0"/>
    <s v="Right-handed"/>
    <s v="Left-arm Spin"/>
    <n v="8"/>
    <n v="7"/>
    <n v="3"/>
    <n v="80"/>
    <n v="18"/>
    <n v="20"/>
    <n v="104.74"/>
    <n v="0"/>
    <n v="0"/>
    <n v="6"/>
    <n v="4"/>
    <n v="2"/>
    <n v="7"/>
    <n v="31.15"/>
    <n v="10.06"/>
    <n v="15.87"/>
    <s v="5/15"/>
    <n v="0"/>
    <n v="29.7"/>
    <n v="3"/>
    <n v="0"/>
    <s v="Rajasthan Royals"/>
    <s v="Won"/>
    <s v="IPL25-M054"/>
    <s v="No"/>
    <n v="1"/>
  </r>
  <r>
    <s v="IPL25-P052"/>
    <x v="51"/>
    <x v="3"/>
    <x v="3"/>
    <s v="West Indian"/>
    <x v="0"/>
    <s v="Left-handed"/>
    <s v="Right-arm Fast"/>
    <n v="9"/>
    <n v="8"/>
    <n v="2"/>
    <n v="48"/>
    <n v="12"/>
    <n v="8"/>
    <n v="86.1"/>
    <n v="0"/>
    <n v="0"/>
    <n v="4"/>
    <n v="2"/>
    <n v="1"/>
    <n v="7"/>
    <n v="27.59"/>
    <n v="9.11"/>
    <n v="20.6"/>
    <s v="4/30"/>
    <n v="0"/>
    <n v="31.4"/>
    <n v="6"/>
    <n v="0"/>
    <s v="Lucknow Super Giants"/>
    <s v="Won"/>
    <s v="IPL25-M025"/>
    <s v="No"/>
    <n v="10"/>
  </r>
  <r>
    <s v="IPL25-P053"/>
    <x v="52"/>
    <x v="3"/>
    <x v="3"/>
    <s v="Indian"/>
    <x v="2"/>
    <s v="Right-handed"/>
    <s v="None"/>
    <n v="13"/>
    <n v="13"/>
    <n v="2"/>
    <n v="596"/>
    <n v="59"/>
    <n v="54.18"/>
    <n v="126.16"/>
    <n v="0"/>
    <n v="0"/>
    <n v="56"/>
    <n v="50"/>
    <n v="0"/>
    <n v="0"/>
    <s v="-"/>
    <s v="-"/>
    <s v="-"/>
    <s v="-"/>
    <n v="0"/>
    <n v="0"/>
    <n v="9"/>
    <n v="0"/>
    <s v="Royal Challengers Bengaluru"/>
    <s v="Lost"/>
    <s v="IPL25-M049"/>
    <s v="No"/>
    <n v="3"/>
  </r>
  <r>
    <s v="IPL25-P054"/>
    <x v="53"/>
    <x v="3"/>
    <x v="3"/>
    <s v="Indian"/>
    <x v="2"/>
    <s v="Left-handed"/>
    <s v="None"/>
    <n v="8"/>
    <n v="8"/>
    <n v="1"/>
    <n v="320"/>
    <n v="41"/>
    <n v="45.71"/>
    <n v="136.47999999999999"/>
    <n v="0"/>
    <n v="0"/>
    <n v="37"/>
    <n v="23"/>
    <n v="0"/>
    <n v="0"/>
    <s v="-"/>
    <s v="-"/>
    <s v="-"/>
    <s v="-"/>
    <n v="0"/>
    <n v="0"/>
    <n v="5"/>
    <n v="0"/>
    <s v="Mumbai Indians"/>
    <s v="Won"/>
    <s v="IPL25-M020"/>
    <s v="No"/>
    <n v="1"/>
  </r>
  <r>
    <s v="IPL25-P055"/>
    <x v="54"/>
    <x v="3"/>
    <x v="3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056"/>
    <x v="55"/>
    <x v="3"/>
    <x v="3"/>
    <s v="Indian"/>
    <x v="1"/>
    <s v="Right-handed"/>
    <s v="Right-arm Leg-spin"/>
    <n v="9"/>
    <n v="9"/>
    <n v="2"/>
    <n v="339"/>
    <n v="94"/>
    <n v="48.43"/>
    <n v="179.65"/>
    <n v="0"/>
    <n v="0"/>
    <n v="43"/>
    <n v="40"/>
    <n v="0"/>
    <n v="0"/>
    <n v="28.69"/>
    <n v="8.9700000000000006"/>
    <n v="17.43"/>
    <s v="0/36"/>
    <n v="0"/>
    <n v="24"/>
    <n v="2"/>
    <n v="0"/>
    <s v="Mumbai Indians"/>
    <s v="Won"/>
    <s v="IPL25-M020"/>
    <s v="No"/>
    <n v="7.5"/>
  </r>
  <r>
    <s v="IPL25-P057"/>
    <x v="56"/>
    <x v="3"/>
    <x v="3"/>
    <s v="Sri Lankan"/>
    <x v="2"/>
    <s v="Right-handed"/>
    <s v="None"/>
    <n v="13"/>
    <n v="11"/>
    <n v="1"/>
    <n v="514"/>
    <n v="87"/>
    <n v="51.4"/>
    <n v="147.87"/>
    <n v="1"/>
    <n v="0"/>
    <n v="54"/>
    <n v="21"/>
    <n v="1"/>
    <n v="0"/>
    <s v="-"/>
    <s v="-"/>
    <s v="-"/>
    <s v="-"/>
    <n v="0"/>
    <n v="0"/>
    <n v="3"/>
    <n v="0"/>
    <s v="Chennai Super Kings"/>
    <s v="Lost"/>
    <s v="IPL25-M071"/>
    <s v="No"/>
    <n v="5"/>
  </r>
  <r>
    <s v="IPL25-P058"/>
    <x v="57"/>
    <x v="3"/>
    <x v="3"/>
    <s v="New Zealand"/>
    <x v="2"/>
    <s v="Right-handed"/>
    <s v="None"/>
    <n v="11"/>
    <n v="9"/>
    <n v="2"/>
    <n v="154"/>
    <n v="35"/>
    <n v="22"/>
    <n v="163.15"/>
    <n v="0"/>
    <n v="0"/>
    <n v="20"/>
    <n v="6"/>
    <n v="0"/>
    <n v="0"/>
    <s v="-"/>
    <s v="-"/>
    <s v="-"/>
    <s v="-"/>
    <n v="0"/>
    <n v="0"/>
    <n v="3"/>
    <n v="0"/>
    <s v="Royal Challengers Bengaluru"/>
    <s v="Won"/>
    <s v="IPL25-M057"/>
    <s v="No"/>
    <n v="15"/>
  </r>
  <r>
    <s v="IPL25-P059"/>
    <x v="58"/>
    <x v="3"/>
    <x v="3"/>
    <s v="Afghan"/>
    <x v="1"/>
    <s v="Right-handed"/>
    <s v="Right-arm Off-spin"/>
    <n v="10"/>
    <n v="10"/>
    <n v="3"/>
    <n v="325"/>
    <n v="40"/>
    <n v="46.43"/>
    <n v="111.14"/>
    <n v="0"/>
    <n v="0"/>
    <n v="44"/>
    <n v="22"/>
    <n v="0"/>
    <n v="16"/>
    <n v="24.26"/>
    <n v="9.39"/>
    <n v="10.86"/>
    <s v="2/10"/>
    <n v="0"/>
    <n v="37.9"/>
    <n v="7"/>
    <n v="0"/>
    <s v="Gujarat Titans"/>
    <s v="Lost"/>
    <s v="IPL25-M005"/>
    <s v="No"/>
    <n v="4"/>
  </r>
  <r>
    <s v="IPL25-P060"/>
    <x v="59"/>
    <x v="3"/>
    <x v="3"/>
    <s v="Indian"/>
    <x v="1"/>
    <s v="Right-handed"/>
    <s v="Left-arm Medium"/>
    <n v="8"/>
    <n v="6"/>
    <n v="3"/>
    <n v="122"/>
    <n v="102"/>
    <n v="40.67"/>
    <n v="167.6"/>
    <n v="0"/>
    <n v="0"/>
    <n v="14"/>
    <n v="13"/>
    <n v="0"/>
    <n v="3"/>
    <n v="17.670000000000002"/>
    <n v="6.57"/>
    <n v="13.32"/>
    <s v="2/41"/>
    <n v="0"/>
    <n v="29.9"/>
    <n v="8"/>
    <n v="0"/>
    <s v="Sunrisers Hyderabad"/>
    <s v="Won"/>
    <s v="IPL25-M026"/>
    <s v="Yes"/>
    <n v="18"/>
  </r>
  <r>
    <s v="IPL25-P061"/>
    <x v="60"/>
    <x v="4"/>
    <x v="4"/>
    <s v="Afghan"/>
    <x v="0"/>
    <s v="Right-handed"/>
    <s v="Left-arm Spin"/>
    <n v="14"/>
    <n v="13"/>
    <n v="1"/>
    <n v="133"/>
    <n v="10"/>
    <n v="11.08"/>
    <n v="122.19"/>
    <n v="0"/>
    <n v="0"/>
    <n v="11"/>
    <n v="6"/>
    <n v="1"/>
    <n v="15"/>
    <n v="18.690000000000001"/>
    <n v="9.6199999999999992"/>
    <n v="14.4"/>
    <s v="4/39"/>
    <n v="0"/>
    <n v="36.200000000000003"/>
    <n v="6"/>
    <n v="0"/>
    <s v="Chennai Super Kings"/>
    <s v="Lost"/>
    <s v="IPL25-M015"/>
    <s v="No"/>
    <n v="18"/>
  </r>
  <r>
    <s v="IPL25-P062"/>
    <x v="61"/>
    <x v="4"/>
    <x v="4"/>
    <s v="South African"/>
    <x v="1"/>
    <s v="Right-handed"/>
    <s v="Right-arm Medium"/>
    <n v="14"/>
    <n v="12"/>
    <n v="0"/>
    <n v="370"/>
    <n v="116"/>
    <n v="30.83"/>
    <n v="176.54"/>
    <n v="0"/>
    <n v="0"/>
    <n v="36"/>
    <n v="18"/>
    <n v="1"/>
    <n v="8"/>
    <n v="21.7"/>
    <n v="7.75"/>
    <n v="14.72"/>
    <s v="2/10"/>
    <n v="0"/>
    <n v="43.8"/>
    <n v="2"/>
    <n v="0"/>
    <s v="Gujarat Titans"/>
    <s v="Lost"/>
    <s v="IPL25-M018"/>
    <s v="No"/>
    <n v="4"/>
  </r>
  <r>
    <s v="IPL25-P063"/>
    <x v="62"/>
    <x v="4"/>
    <x v="4"/>
    <s v="Indian"/>
    <x v="0"/>
    <s v="Left-handed"/>
    <s v="Left-arm Medium"/>
    <n v="12"/>
    <n v="10"/>
    <n v="1"/>
    <n v="25"/>
    <n v="7"/>
    <n v="2.78"/>
    <n v="102.28"/>
    <n v="0"/>
    <n v="0"/>
    <n v="2"/>
    <n v="1"/>
    <n v="2"/>
    <n v="18"/>
    <n v="20.57"/>
    <n v="9.49"/>
    <n v="16.59"/>
    <s v="5/42"/>
    <n v="0"/>
    <n v="43"/>
    <n v="11"/>
    <n v="0"/>
    <s v="Royal Challengers Bengaluru"/>
    <s v="Lost"/>
    <s v="IPL25-M013"/>
    <s v="No"/>
    <n v="0.75"/>
  </r>
  <r>
    <s v="IPL25-P064"/>
    <x v="63"/>
    <x v="4"/>
    <x v="4"/>
    <s v="Bangladeshi"/>
    <x v="1"/>
    <s v="Right-handed"/>
    <s v="Right-arm Fast"/>
    <n v="9"/>
    <n v="8"/>
    <n v="0"/>
    <n v="225"/>
    <n v="53"/>
    <n v="28.12"/>
    <n v="144.66"/>
    <n v="0"/>
    <n v="0"/>
    <n v="21"/>
    <n v="9"/>
    <n v="0"/>
    <n v="23"/>
    <n v="17.63"/>
    <n v="9.85"/>
    <n v="16.239999999999998"/>
    <s v="3/18"/>
    <n v="0"/>
    <n v="30.2"/>
    <n v="6"/>
    <n v="0"/>
    <s v="Lucknow Super Giants"/>
    <s v="Lost"/>
    <s v="IPL25-M066"/>
    <s v="No"/>
    <n v="4"/>
  </r>
  <r>
    <s v="IPL25-P065"/>
    <x v="64"/>
    <x v="4"/>
    <x v="4"/>
    <s v="Indian"/>
    <x v="2"/>
    <s v="Right-handed"/>
    <s v="None"/>
    <n v="14"/>
    <n v="13"/>
    <n v="3"/>
    <n v="307"/>
    <n v="39"/>
    <n v="30.7"/>
    <n v="127.2"/>
    <n v="0"/>
    <n v="0"/>
    <n v="31"/>
    <n v="26"/>
    <n v="0"/>
    <n v="0"/>
    <s v="-"/>
    <s v="-"/>
    <s v="-"/>
    <s v="-"/>
    <n v="0"/>
    <n v="0"/>
    <n v="7"/>
    <n v="0"/>
    <s v="Rajasthan Royals"/>
    <s v="Lost"/>
    <s v="IPL25-M044"/>
    <s v="No"/>
    <n v="0.75"/>
  </r>
  <r>
    <s v="IPL25-P066"/>
    <x v="65"/>
    <x v="4"/>
    <x v="4"/>
    <s v="Pakistani"/>
    <x v="2"/>
    <s v="Right-handed"/>
    <s v="None"/>
    <n v="8"/>
    <n v="6"/>
    <n v="2"/>
    <n v="162"/>
    <n v="112"/>
    <n v="40.5"/>
    <n v="155.41"/>
    <n v="0"/>
    <n v="0"/>
    <n v="21"/>
    <n v="7"/>
    <n v="0"/>
    <n v="0"/>
    <s v="-"/>
    <s v="-"/>
    <s v="-"/>
    <s v="-"/>
    <n v="0"/>
    <n v="0"/>
    <n v="3"/>
    <n v="0"/>
    <s v="Gujarat Titans"/>
    <s v="Lost"/>
    <s v="IPL25-M018"/>
    <s v="No"/>
    <n v="18"/>
  </r>
  <r>
    <s v="IPL25-P067"/>
    <x v="66"/>
    <x v="4"/>
    <x v="4"/>
    <s v="Indian"/>
    <x v="2"/>
    <s v="Right-handed"/>
    <s v="None"/>
    <n v="10"/>
    <n v="10"/>
    <n v="2"/>
    <n v="207"/>
    <n v="58"/>
    <n v="25.88"/>
    <n v="136.53"/>
    <n v="0"/>
    <n v="0"/>
    <n v="20"/>
    <n v="8"/>
    <n v="0"/>
    <n v="0"/>
    <s v="-"/>
    <s v="-"/>
    <s v="-"/>
    <s v="-"/>
    <n v="0"/>
    <n v="0"/>
    <n v="8"/>
    <n v="0"/>
    <s v="Gujarat Titans"/>
    <s v="Lost"/>
    <s v="IPL25-M034"/>
    <s v="No"/>
    <n v="2.5"/>
  </r>
  <r>
    <s v="IPL25-P068"/>
    <x v="67"/>
    <x v="4"/>
    <x v="4"/>
    <s v="Indian"/>
    <x v="1"/>
    <s v="Left-handed"/>
    <s v="Right-arm Leg-spin"/>
    <n v="13"/>
    <n v="13"/>
    <n v="0"/>
    <n v="687"/>
    <n v="42"/>
    <n v="52.85"/>
    <n v="167.89"/>
    <n v="1"/>
    <n v="0"/>
    <n v="74"/>
    <n v="38"/>
    <n v="1"/>
    <n v="22"/>
    <n v="15.25"/>
    <n v="7.43"/>
    <n v="12.26"/>
    <s v="2/38"/>
    <n v="0"/>
    <n v="43.8"/>
    <n v="3"/>
    <n v="0"/>
    <s v="Kolkata Knight Riders"/>
    <s v="Lost"/>
    <s v="IPL25-M023"/>
    <s v="No"/>
    <n v="6"/>
  </r>
  <r>
    <s v="IPL25-P069"/>
    <x v="68"/>
    <x v="4"/>
    <x v="4"/>
    <s v="Indian"/>
    <x v="2"/>
    <s v="Right-handed"/>
    <s v="None"/>
    <n v="11"/>
    <n v="11"/>
    <n v="2"/>
    <n v="494"/>
    <n v="78"/>
    <n v="54.89"/>
    <n v="179.85"/>
    <n v="0"/>
    <n v="0"/>
    <n v="45"/>
    <n v="52"/>
    <n v="0"/>
    <n v="0"/>
    <s v="-"/>
    <s v="-"/>
    <s v="-"/>
    <s v="-"/>
    <n v="0"/>
    <n v="0"/>
    <n v="7"/>
    <n v="0"/>
    <s v="Gujarat Titans"/>
    <s v="Lost"/>
    <s v="IPL25-M018"/>
    <s v="Yes"/>
    <n v="7.5"/>
  </r>
  <r>
    <s v="IPL25-P070"/>
    <x v="69"/>
    <x v="4"/>
    <x v="4"/>
    <s v="Indian"/>
    <x v="2"/>
    <s v="Right-handed"/>
    <s v="None"/>
    <n v="8"/>
    <n v="6"/>
    <n v="3"/>
    <n v="92"/>
    <n v="68"/>
    <n v="30.67"/>
    <n v="154.18"/>
    <n v="0"/>
    <n v="0"/>
    <n v="7"/>
    <n v="9"/>
    <n v="0"/>
    <n v="0"/>
    <s v="-"/>
    <s v="-"/>
    <s v="-"/>
    <s v="-"/>
    <n v="0"/>
    <n v="0"/>
    <n v="4"/>
    <n v="0"/>
    <s v="Kolkata Knight Riders"/>
    <s v="Lost"/>
    <s v="IPL25-M051"/>
    <s v="No"/>
    <n v="7.5"/>
  </r>
  <r>
    <s v="IPL25-P071"/>
    <x v="70"/>
    <x v="4"/>
    <x v="4"/>
    <s v="Australian"/>
    <x v="2"/>
    <s v="Left-handed"/>
    <s v="None"/>
    <n v="14"/>
    <n v="13"/>
    <n v="1"/>
    <n v="540"/>
    <n v="100"/>
    <n v="45"/>
    <n v="178"/>
    <n v="1"/>
    <n v="0"/>
    <n v="66"/>
    <n v="61"/>
    <n v="0"/>
    <n v="0"/>
    <s v="-"/>
    <s v="-"/>
    <s v="-"/>
    <s v="-"/>
    <n v="0"/>
    <n v="0"/>
    <n v="4"/>
    <n v="0"/>
    <s v="Gujarat Titans"/>
    <s v="Lost"/>
    <s v="IPL25-M018"/>
    <s v="No"/>
    <n v="18"/>
  </r>
  <r>
    <s v="IPL25-P072"/>
    <x v="71"/>
    <x v="4"/>
    <x v="4"/>
    <s v="Indian"/>
    <x v="0"/>
    <s v="Right-handed"/>
    <s v="Right-arm Fast"/>
    <n v="12"/>
    <n v="11"/>
    <n v="0"/>
    <n v="200"/>
    <n v="14"/>
    <n v="18.18"/>
    <n v="98.72"/>
    <n v="0"/>
    <n v="0"/>
    <n v="16"/>
    <n v="10"/>
    <n v="2"/>
    <n v="20"/>
    <n v="28.33"/>
    <n v="10.4"/>
    <n v="11.39"/>
    <s v="4/17"/>
    <n v="1"/>
    <n v="41.9"/>
    <n v="12"/>
    <n v="0"/>
    <s v="Lucknow Super Giants"/>
    <s v="Lost"/>
    <s v="IPL25-M066"/>
    <s v="Yes"/>
    <n v="10"/>
  </r>
  <r>
    <s v="IPL25-P073"/>
    <x v="72"/>
    <x v="4"/>
    <x v="4"/>
    <s v="Sri Lankan"/>
    <x v="0"/>
    <s v="Left-handed"/>
    <s v="Left-arm Medium"/>
    <n v="13"/>
    <n v="13"/>
    <n v="0"/>
    <n v="186"/>
    <n v="39"/>
    <n v="14.31"/>
    <n v="125.79"/>
    <n v="0"/>
    <n v="0"/>
    <n v="15"/>
    <n v="9"/>
    <n v="2"/>
    <n v="14"/>
    <n v="23.48"/>
    <n v="7.48"/>
    <n v="14.57"/>
    <s v="3/13"/>
    <n v="0"/>
    <n v="44.2"/>
    <n v="10"/>
    <n v="0"/>
    <s v="Punjab Kings"/>
    <s v="Lost"/>
    <s v="IPL25-M007"/>
    <s v="No"/>
    <n v="0.4"/>
  </r>
  <r>
    <s v="IPL25-P074"/>
    <x v="73"/>
    <x v="4"/>
    <x v="4"/>
    <s v="Indian"/>
    <x v="2"/>
    <s v="Right-handed"/>
    <s v="None"/>
    <n v="8"/>
    <n v="8"/>
    <n v="2"/>
    <n v="307"/>
    <n v="61"/>
    <n v="51.17"/>
    <n v="141.28"/>
    <n v="0"/>
    <n v="0"/>
    <n v="26"/>
    <n v="20"/>
    <n v="0"/>
    <n v="0"/>
    <s v="-"/>
    <s v="-"/>
    <s v="-"/>
    <s v="-"/>
    <n v="0"/>
    <n v="0"/>
    <n v="3"/>
    <n v="0"/>
    <s v="Chennai Super Kings"/>
    <s v="Lost"/>
    <s v="IPL25-M015"/>
    <s v="No"/>
    <n v="0.2"/>
  </r>
  <r>
    <s v="IPL25-P075"/>
    <x v="74"/>
    <x v="4"/>
    <x v="4"/>
    <s v="Indian"/>
    <x v="2"/>
    <s v="Right-handed"/>
    <s v="None"/>
    <n v="14"/>
    <n v="14"/>
    <n v="1"/>
    <n v="541"/>
    <n v="78"/>
    <n v="41.62"/>
    <n v="180.7"/>
    <n v="0"/>
    <n v="0"/>
    <n v="58"/>
    <n v="23"/>
    <n v="0"/>
    <n v="0"/>
    <s v="-"/>
    <s v="-"/>
    <s v="-"/>
    <s v="-"/>
    <n v="0"/>
    <n v="0"/>
    <n v="3"/>
    <n v="0"/>
    <s v="Gujarat Titans"/>
    <s v="Lost"/>
    <s v="IPL25-M018"/>
    <s v="No"/>
    <n v="15"/>
  </r>
  <r>
    <s v="IPL25-P076"/>
    <x v="75"/>
    <x v="5"/>
    <x v="5"/>
    <s v="Sri Lankan"/>
    <x v="0"/>
    <s v="Right-handed"/>
    <s v="Left-arm Fast"/>
    <n v="9"/>
    <n v="8"/>
    <n v="1"/>
    <n v="163"/>
    <n v="19"/>
    <n v="23.29"/>
    <n v="115.23"/>
    <n v="0"/>
    <n v="0"/>
    <n v="13"/>
    <n v="8"/>
    <n v="1"/>
    <n v="15"/>
    <n v="22.51"/>
    <n v="6.77"/>
    <n v="14.21"/>
    <s v="2/13"/>
    <n v="0"/>
    <n v="28.2"/>
    <n v="9"/>
    <n v="0"/>
    <s v="Mumbai Indians"/>
    <s v="Won"/>
    <s v="IPL25-M067"/>
    <s v="No"/>
    <n v="15"/>
  </r>
  <r>
    <s v="IPL25-P077"/>
    <x v="76"/>
    <x v="5"/>
    <x v="5"/>
    <s v="Indian"/>
    <x v="2"/>
    <s v="Left-handed"/>
    <s v="None"/>
    <n v="11"/>
    <n v="10"/>
    <n v="1"/>
    <n v="162"/>
    <n v="86"/>
    <n v="18"/>
    <n v="163.77000000000001"/>
    <n v="0"/>
    <n v="0"/>
    <n v="22"/>
    <n v="6"/>
    <n v="0"/>
    <n v="0"/>
    <s v="-"/>
    <s v="-"/>
    <s v="-"/>
    <s v="-"/>
    <n v="0"/>
    <n v="0"/>
    <n v="2"/>
    <n v="0"/>
    <s v="Mumbai Indians"/>
    <s v="Won"/>
    <s v="IPL25-M064"/>
    <s v="No"/>
    <n v="5"/>
  </r>
  <r>
    <s v="IPL25-P078"/>
    <x v="77"/>
    <x v="5"/>
    <x v="5"/>
    <s v="Indian"/>
    <x v="0"/>
    <s v="Left-handed"/>
    <s v="Right-arm Fast"/>
    <n v="9"/>
    <n v="8"/>
    <n v="2"/>
    <n v="173"/>
    <n v="37"/>
    <n v="28.83"/>
    <n v="127.32"/>
    <n v="0"/>
    <n v="0"/>
    <n v="14"/>
    <n v="8"/>
    <n v="3"/>
    <n v="6"/>
    <n v="15.44"/>
    <n v="8.42"/>
    <n v="19.11"/>
    <s v="3/18"/>
    <n v="0"/>
    <n v="31.6"/>
    <n v="2"/>
    <n v="0"/>
    <s v="Lucknow Super Giants"/>
    <s v="Lost"/>
    <s v="IPL25-M029"/>
    <s v="No"/>
    <n v="6"/>
  </r>
  <r>
    <s v="IPL25-P079"/>
    <x v="78"/>
    <x v="5"/>
    <x v="5"/>
    <s v="Indian"/>
    <x v="3"/>
    <s v="Left-handed"/>
    <s v="None"/>
    <n v="12"/>
    <n v="12"/>
    <n v="2"/>
    <n v="244"/>
    <n v="117"/>
    <n v="24.4"/>
    <n v="184.54"/>
    <n v="0"/>
    <n v="0"/>
    <n v="29"/>
    <n v="21"/>
    <n v="0"/>
    <n v="0"/>
    <s v="-"/>
    <s v="-"/>
    <s v="-"/>
    <s v="-"/>
    <n v="0"/>
    <n v="0"/>
    <n v="11"/>
    <n v="1"/>
    <s v="Mumbai Indians"/>
    <s v="Won"/>
    <s v="IPL25-M067"/>
    <s v="Yes"/>
    <n v="0.5"/>
  </r>
  <r>
    <s v="IPL25-P080"/>
    <x v="79"/>
    <x v="5"/>
    <x v="5"/>
    <s v="Australian"/>
    <x v="0"/>
    <s v="Right-handed"/>
    <s v="Right-arm Fast"/>
    <n v="8"/>
    <n v="6"/>
    <n v="0"/>
    <n v="28"/>
    <n v="12"/>
    <n v="4.67"/>
    <n v="88.53"/>
    <n v="0"/>
    <n v="0"/>
    <n v="2"/>
    <n v="1"/>
    <n v="2"/>
    <n v="12"/>
    <n v="29.58"/>
    <n v="6.55"/>
    <n v="11.2"/>
    <s v="5/33"/>
    <n v="0"/>
    <n v="27.5"/>
    <n v="3"/>
    <n v="0"/>
    <s v="Rajasthan Royals"/>
    <s v="Won"/>
    <s v="IPL25-M027"/>
    <s v="No"/>
    <n v="0.4"/>
  </r>
  <r>
    <s v="IPL25-P081"/>
    <x v="80"/>
    <x v="5"/>
    <x v="5"/>
    <s v="Indian"/>
    <x v="2"/>
    <s v="Left-handed"/>
    <s v="None"/>
    <n v="14"/>
    <n v="14"/>
    <n v="0"/>
    <n v="745"/>
    <n v="54"/>
    <n v="53.21"/>
    <n v="147.74"/>
    <n v="1"/>
    <n v="0"/>
    <n v="99"/>
    <n v="62"/>
    <n v="0"/>
    <n v="0"/>
    <s v="-"/>
    <s v="-"/>
    <s v="-"/>
    <s v="-"/>
    <n v="0"/>
    <n v="0"/>
    <n v="9"/>
    <n v="0"/>
    <s v="Mumbai Indians"/>
    <s v="Won"/>
    <s v="IPL25-M067"/>
    <s v="No"/>
    <n v="4"/>
  </r>
  <r>
    <s v="IPL25-P082"/>
    <x v="81"/>
    <x v="5"/>
    <x v="5"/>
    <s v="Indian"/>
    <x v="2"/>
    <s v="Right-handed"/>
    <s v="None"/>
    <n v="13"/>
    <n v="12"/>
    <n v="1"/>
    <n v="434"/>
    <n v="91"/>
    <n v="39.450000000000003"/>
    <n v="180.54"/>
    <n v="0"/>
    <n v="0"/>
    <n v="37"/>
    <n v="38"/>
    <n v="0"/>
    <n v="0"/>
    <s v="-"/>
    <s v="-"/>
    <s v="-"/>
    <s v="-"/>
    <n v="0"/>
    <n v="0"/>
    <n v="2"/>
    <n v="0"/>
    <s v="Lucknow Super Giants"/>
    <s v="Lost"/>
    <s v="IPL25-M029"/>
    <s v="No"/>
    <n v="10"/>
  </r>
  <r>
    <s v="IPL25-P083"/>
    <x v="82"/>
    <x v="5"/>
    <x v="5"/>
    <s v="Indian"/>
    <x v="1"/>
    <s v="Left-handed"/>
    <s v="Right-arm Leg-spin"/>
    <n v="9"/>
    <n v="8"/>
    <n v="3"/>
    <n v="263"/>
    <n v="38"/>
    <n v="52.6"/>
    <n v="157.26"/>
    <n v="0"/>
    <n v="0"/>
    <n v="25"/>
    <n v="13"/>
    <n v="0"/>
    <n v="9"/>
    <n v="21.27"/>
    <n v="9.2799999999999994"/>
    <n v="20.39"/>
    <s v="4/38"/>
    <n v="0"/>
    <n v="28.6"/>
    <n v="4"/>
    <n v="0"/>
    <s v="Gujarat Titans"/>
    <s v="Won"/>
    <s v="IPL25-M010"/>
    <s v="No"/>
    <n v="5"/>
  </r>
  <r>
    <s v="IPL25-P084"/>
    <x v="83"/>
    <x v="5"/>
    <x v="5"/>
    <s v="Afghan"/>
    <x v="0"/>
    <s v="Right-handed"/>
    <s v="Right-arm Off-spin"/>
    <n v="10"/>
    <n v="9"/>
    <n v="2"/>
    <n v="128"/>
    <n v="15"/>
    <n v="18.29"/>
    <n v="99.77"/>
    <n v="0"/>
    <n v="0"/>
    <n v="10"/>
    <n v="6"/>
    <n v="2"/>
    <n v="12"/>
    <n v="31.21"/>
    <n v="7.38"/>
    <n v="19.28"/>
    <s v="3/42"/>
    <n v="0"/>
    <n v="37.1"/>
    <n v="8"/>
    <n v="0"/>
    <s v="Chennai Super Kings"/>
    <s v="Won"/>
    <s v="IPL25-M070"/>
    <s v="Yes"/>
    <n v="5"/>
  </r>
  <r>
    <s v="IPL25-P085"/>
    <x v="84"/>
    <x v="5"/>
    <x v="5"/>
    <s v="English"/>
    <x v="0"/>
    <s v="Left-handed"/>
    <s v="Right-arm Fast"/>
    <n v="10"/>
    <n v="9"/>
    <n v="3"/>
    <n v="233"/>
    <n v="19"/>
    <n v="38.83"/>
    <n v="98.06"/>
    <n v="0"/>
    <n v="0"/>
    <n v="19"/>
    <n v="11"/>
    <n v="2"/>
    <n v="16"/>
    <n v="29.46"/>
    <n v="9.92"/>
    <n v="15.9"/>
    <s v="4/20"/>
    <n v="0"/>
    <n v="34"/>
    <n v="4"/>
    <n v="0"/>
    <s v="Delhi Capitals"/>
    <s v="Won"/>
    <s v="IPL25-M007"/>
    <s v="No"/>
    <n v="18"/>
  </r>
  <r>
    <s v="IPL25-P086"/>
    <x v="85"/>
    <x v="5"/>
    <x v="5"/>
    <s v="Bangladeshi"/>
    <x v="2"/>
    <s v="Right-handed"/>
    <s v="None"/>
    <n v="9"/>
    <n v="8"/>
    <n v="3"/>
    <n v="159"/>
    <n v="42"/>
    <n v="31.8"/>
    <n v="113.8"/>
    <n v="0"/>
    <n v="0"/>
    <n v="14"/>
    <n v="6"/>
    <n v="0"/>
    <n v="0"/>
    <s v="-"/>
    <s v="-"/>
    <s v="-"/>
    <s v="-"/>
    <n v="0"/>
    <n v="0"/>
    <n v="5"/>
    <n v="0"/>
    <s v="Gujarat Titans"/>
    <s v="Lost"/>
    <s v="IPL25-M012"/>
    <s v="Yes"/>
    <n v="12.5"/>
  </r>
  <r>
    <s v="IPL25-P087"/>
    <x v="86"/>
    <x v="5"/>
    <x v="5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088"/>
    <x v="87"/>
    <x v="5"/>
    <x v="5"/>
    <s v="Indian"/>
    <x v="1"/>
    <s v="Right-handed"/>
    <s v="Right-arm Medium"/>
    <n v="14"/>
    <n v="12"/>
    <n v="0"/>
    <n v="636"/>
    <n v="88"/>
    <n v="53"/>
    <n v="183.11"/>
    <n v="1"/>
    <n v="0"/>
    <n v="54"/>
    <n v="70"/>
    <n v="1"/>
    <n v="16"/>
    <n v="22.19"/>
    <n v="8.6999999999999993"/>
    <n v="17.190000000000001"/>
    <s v="4/10"/>
    <n v="0"/>
    <n v="46.5"/>
    <n v="10"/>
    <n v="0"/>
    <s v="Rajasthan Royals"/>
    <s v="Won"/>
    <s v="IPL25-M027"/>
    <s v="No"/>
    <n v="0.75"/>
  </r>
  <r>
    <s v="IPL25-P089"/>
    <x v="88"/>
    <x v="5"/>
    <x v="5"/>
    <s v="Bangladeshi"/>
    <x v="1"/>
    <s v="Left-handed"/>
    <s v="Left-arm Fast"/>
    <n v="11"/>
    <n v="10"/>
    <n v="0"/>
    <n v="422"/>
    <n v="53"/>
    <n v="42.2"/>
    <n v="118.87"/>
    <n v="1"/>
    <n v="0"/>
    <n v="39"/>
    <n v="28"/>
    <n v="0"/>
    <n v="15"/>
    <n v="23.39"/>
    <n v="7.92"/>
    <n v="15.52"/>
    <s v="2/25"/>
    <n v="0"/>
    <n v="35"/>
    <n v="9"/>
    <n v="0"/>
    <s v="Delhi Capitals"/>
    <s v="Won"/>
    <s v="IPL25-M007"/>
    <s v="No"/>
    <n v="0.2"/>
  </r>
  <r>
    <s v="IPL25-P090"/>
    <x v="89"/>
    <x v="5"/>
    <x v="5"/>
    <s v="Bangladeshi"/>
    <x v="3"/>
    <s v="Left-handed"/>
    <s v="None"/>
    <n v="11"/>
    <n v="10"/>
    <n v="1"/>
    <n v="267"/>
    <n v="65"/>
    <n v="29.67"/>
    <n v="152.16"/>
    <n v="0"/>
    <n v="0"/>
    <n v="29"/>
    <n v="12"/>
    <n v="0"/>
    <n v="0"/>
    <s v="-"/>
    <s v="-"/>
    <s v="-"/>
    <s v="-"/>
    <n v="0"/>
    <n v="0"/>
    <n v="4"/>
    <n v="4"/>
    <s v="Gujarat Titans"/>
    <s v="Won"/>
    <s v="IPL25-M010"/>
    <s v="No"/>
    <n v="3"/>
  </r>
  <r>
    <s v="IPL25-P091"/>
    <x v="90"/>
    <x v="6"/>
    <x v="6"/>
    <s v="Sri Lankan"/>
    <x v="0"/>
    <s v="Left-handed"/>
    <s v="Right-arm Leg-spin"/>
    <n v="8"/>
    <n v="6"/>
    <n v="0"/>
    <n v="21"/>
    <n v="14"/>
    <n v="3.5"/>
    <n v="85.67"/>
    <n v="0"/>
    <n v="0"/>
    <n v="1"/>
    <n v="1"/>
    <n v="1"/>
    <n v="13"/>
    <n v="29.13"/>
    <n v="9.7799999999999994"/>
    <n v="10.95"/>
    <s v="3/30"/>
    <n v="0"/>
    <n v="24"/>
    <n v="7"/>
    <n v="0"/>
    <s v="Royal Challengers Bengaluru"/>
    <s v="Lost"/>
    <s v="IPL25-M043"/>
    <s v="No"/>
    <n v="1.5"/>
  </r>
  <r>
    <s v="IPL25-P092"/>
    <x v="91"/>
    <x v="6"/>
    <x v="6"/>
    <s v="Australian"/>
    <x v="3"/>
    <s v="Right-handed"/>
    <s v="None"/>
    <n v="11"/>
    <n v="9"/>
    <n v="1"/>
    <n v="338"/>
    <n v="79"/>
    <n v="42.25"/>
    <n v="113.07"/>
    <n v="0"/>
    <n v="0"/>
    <n v="45"/>
    <n v="29"/>
    <n v="0"/>
    <n v="0"/>
    <s v="-"/>
    <s v="-"/>
    <s v="-"/>
    <s v="-"/>
    <n v="0"/>
    <n v="0"/>
    <n v="6"/>
    <n v="3"/>
    <s v="Lucknow Super Giants"/>
    <s v="Lost"/>
    <s v="IPL25-M062"/>
    <s v="No"/>
    <n v="5"/>
  </r>
  <r>
    <s v="IPL25-P093"/>
    <x v="92"/>
    <x v="6"/>
    <x v="6"/>
    <s v="Indian"/>
    <x v="2"/>
    <s v="Left-handed"/>
    <s v="None"/>
    <n v="9"/>
    <n v="9"/>
    <n v="1"/>
    <n v="245"/>
    <n v="77"/>
    <n v="30.62"/>
    <n v="135.54"/>
    <n v="0"/>
    <n v="0"/>
    <n v="29"/>
    <n v="28"/>
    <n v="0"/>
    <n v="0"/>
    <s v="-"/>
    <s v="-"/>
    <s v="-"/>
    <s v="-"/>
    <n v="0"/>
    <n v="0"/>
    <n v="4"/>
    <n v="0"/>
    <s v="Chennai Super Kings"/>
    <s v="Lost"/>
    <s v="IPL25-M035"/>
    <s v="No"/>
    <n v="15"/>
  </r>
  <r>
    <s v="IPL25-P094"/>
    <x v="93"/>
    <x v="6"/>
    <x v="6"/>
    <s v="Indian"/>
    <x v="1"/>
    <s v="Left-handed"/>
    <s v="Left-arm Fast"/>
    <n v="10"/>
    <n v="8"/>
    <n v="1"/>
    <n v="248"/>
    <n v="53"/>
    <n v="35.43"/>
    <n v="181.57"/>
    <n v="0"/>
    <n v="0"/>
    <n v="29"/>
    <n v="29"/>
    <n v="0"/>
    <n v="14"/>
    <n v="25"/>
    <n v="10.06"/>
    <n v="18.3"/>
    <s v="5/30"/>
    <n v="0"/>
    <n v="33.4"/>
    <n v="9"/>
    <n v="0"/>
    <s v="Lucknow Super Giants"/>
    <s v="Lost"/>
    <s v="IPL25-M062"/>
    <s v="No"/>
    <n v="6"/>
  </r>
  <r>
    <s v="IPL25-P095"/>
    <x v="94"/>
    <x v="6"/>
    <x v="6"/>
    <s v="New Zealand"/>
    <x v="2"/>
    <s v="Right-handed"/>
    <s v="None"/>
    <n v="12"/>
    <n v="10"/>
    <n v="3"/>
    <n v="324"/>
    <n v="69"/>
    <n v="46.29"/>
    <n v="154.68"/>
    <n v="0"/>
    <n v="0"/>
    <n v="39"/>
    <n v="38"/>
    <n v="0"/>
    <n v="0"/>
    <s v="-"/>
    <s v="-"/>
    <s v="-"/>
    <s v="-"/>
    <n v="0"/>
    <n v="0"/>
    <n v="4"/>
    <n v="0"/>
    <s v="Delhi Capitals"/>
    <s v="Lost"/>
    <s v="IPL25-M061"/>
    <s v="No"/>
    <n v="1.5"/>
  </r>
  <r>
    <s v="IPL25-P096"/>
    <x v="95"/>
    <x v="6"/>
    <x v="6"/>
    <s v="Indian"/>
    <x v="0"/>
    <s v="Left-handed"/>
    <s v="Left-arm Spin"/>
    <n v="11"/>
    <n v="10"/>
    <n v="2"/>
    <n v="286"/>
    <n v="23"/>
    <n v="35.75"/>
    <n v="94.88"/>
    <n v="0"/>
    <n v="0"/>
    <n v="23"/>
    <n v="14"/>
    <n v="3"/>
    <n v="14"/>
    <n v="17.82"/>
    <n v="7.13"/>
    <n v="17.84"/>
    <s v="5/30"/>
    <n v="0"/>
    <n v="31.7"/>
    <n v="2"/>
    <n v="0"/>
    <s v="Mumbai Indians"/>
    <s v="Won"/>
    <s v="IPL25-M037"/>
    <s v="No"/>
    <n v="4"/>
  </r>
  <r>
    <s v="IPL25-P097"/>
    <x v="96"/>
    <x v="6"/>
    <x v="6"/>
    <s v="Indian"/>
    <x v="1"/>
    <s v="Right-handed"/>
    <s v="Left-arm Spin"/>
    <n v="11"/>
    <n v="10"/>
    <n v="3"/>
    <n v="187"/>
    <n v="60"/>
    <n v="26.71"/>
    <n v="153.07"/>
    <n v="0"/>
    <n v="0"/>
    <n v="24"/>
    <n v="11"/>
    <n v="0"/>
    <n v="5"/>
    <n v="15.55"/>
    <n v="10.28"/>
    <n v="16.78"/>
    <s v="5/24"/>
    <n v="0"/>
    <n v="30.9"/>
    <n v="9"/>
    <n v="0"/>
    <s v="Royal Challengers Bengaluru"/>
    <s v="Lost"/>
    <s v="IPL25-M043"/>
    <s v="No"/>
    <n v="0.4"/>
  </r>
  <r>
    <s v="IPL25-P098"/>
    <x v="97"/>
    <x v="6"/>
    <x v="6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099"/>
    <x v="98"/>
    <x v="6"/>
    <x v="6"/>
    <s v="Pakistani"/>
    <x v="2"/>
    <s v="Right-handed"/>
    <s v="None"/>
    <n v="10"/>
    <n v="10"/>
    <n v="3"/>
    <n v="324"/>
    <n v="114"/>
    <n v="46.29"/>
    <n v="124.57"/>
    <n v="0"/>
    <n v="0"/>
    <n v="25"/>
    <n v="23"/>
    <n v="0"/>
    <n v="0"/>
    <s v="-"/>
    <s v="-"/>
    <s v="-"/>
    <s v="-"/>
    <n v="0"/>
    <n v="0"/>
    <n v="8"/>
    <n v="0"/>
    <s v="Mumbai Indians"/>
    <s v="Won"/>
    <s v="IPL25-M056"/>
    <s v="Yes"/>
    <n v="2"/>
  </r>
  <r>
    <s v="IPL25-P100"/>
    <x v="99"/>
    <x v="6"/>
    <x v="6"/>
    <s v="Indian"/>
    <x v="0"/>
    <s v="Left-handed"/>
    <s v="Right-arm Off-spin"/>
    <n v="10"/>
    <n v="9"/>
    <n v="2"/>
    <n v="257"/>
    <n v="13"/>
    <n v="36.71"/>
    <n v="90.81"/>
    <n v="0"/>
    <n v="0"/>
    <n v="21"/>
    <n v="12"/>
    <n v="3"/>
    <n v="14"/>
    <n v="32.26"/>
    <n v="9.44"/>
    <n v="19.329999999999998"/>
    <s v="2/26"/>
    <n v="0"/>
    <n v="30.8"/>
    <n v="7"/>
    <n v="0"/>
    <s v="Mumbai Indians"/>
    <s v="Won"/>
    <s v="IPL25-M037"/>
    <s v="No"/>
    <n v="0.2"/>
  </r>
  <r>
    <s v="IPL25-P101"/>
    <x v="100"/>
    <x v="6"/>
    <x v="6"/>
    <s v="Bangladeshi"/>
    <x v="1"/>
    <s v="Left-handed"/>
    <s v="Right-arm Medium"/>
    <n v="11"/>
    <n v="11"/>
    <n v="1"/>
    <n v="227"/>
    <n v="35"/>
    <n v="22.7"/>
    <n v="177.35"/>
    <n v="0"/>
    <n v="0"/>
    <n v="23"/>
    <n v="20"/>
    <n v="0"/>
    <n v="29"/>
    <n v="31.22"/>
    <n v="9.17"/>
    <n v="18.04"/>
    <s v="3/19"/>
    <n v="0"/>
    <n v="33"/>
    <n v="11"/>
    <n v="0"/>
    <s v="Royal Challengers Bengaluru"/>
    <s v="Lost"/>
    <s v="IPL25-M043"/>
    <s v="Yes"/>
    <n v="0.2"/>
  </r>
  <r>
    <s v="IPL25-P102"/>
    <x v="101"/>
    <x v="6"/>
    <x v="6"/>
    <s v="Australian"/>
    <x v="1"/>
    <s v="Right-handed"/>
    <s v="Left-arm Medium"/>
    <n v="14"/>
    <n v="12"/>
    <n v="3"/>
    <n v="362"/>
    <n v="71"/>
    <n v="40.22"/>
    <n v="141.91999999999999"/>
    <n v="0"/>
    <n v="0"/>
    <n v="34"/>
    <n v="35"/>
    <n v="0"/>
    <n v="12"/>
    <n v="31.48"/>
    <n v="7.61"/>
    <n v="10.53"/>
    <s v="2/23"/>
    <n v="0"/>
    <n v="48.5"/>
    <n v="4"/>
    <n v="0"/>
    <s v="Mumbai Indians"/>
    <s v="Won"/>
    <s v="IPL25-M037"/>
    <s v="No"/>
    <n v="0.5"/>
  </r>
  <r>
    <s v="IPL25-P103"/>
    <x v="102"/>
    <x v="6"/>
    <x v="6"/>
    <s v="Bangladeshi"/>
    <x v="2"/>
    <s v="Right-handed"/>
    <s v="None"/>
    <n v="13"/>
    <n v="13"/>
    <n v="0"/>
    <n v="521"/>
    <n v="76"/>
    <n v="40.08"/>
    <n v="131.91"/>
    <n v="1"/>
    <n v="0"/>
    <n v="48"/>
    <n v="29"/>
    <n v="0"/>
    <n v="0"/>
    <s v="-"/>
    <s v="-"/>
    <s v="-"/>
    <s v="-"/>
    <n v="0"/>
    <n v="0"/>
    <n v="10"/>
    <n v="0"/>
    <s v="Delhi Capitals"/>
    <s v="Won"/>
    <s v="IPL25-M044"/>
    <s v="No"/>
    <n v="5"/>
  </r>
  <r>
    <s v="IPL25-P104"/>
    <x v="103"/>
    <x v="6"/>
    <x v="6"/>
    <s v="Indian"/>
    <x v="2"/>
    <s v="Right-handed"/>
    <s v="None"/>
    <n v="12"/>
    <n v="10"/>
    <n v="0"/>
    <n v="281"/>
    <n v="112"/>
    <n v="28.1"/>
    <n v="147.11000000000001"/>
    <n v="0"/>
    <n v="0"/>
    <n v="32"/>
    <n v="33"/>
    <n v="0"/>
    <n v="0"/>
    <s v="-"/>
    <s v="-"/>
    <s v="-"/>
    <s v="-"/>
    <n v="0"/>
    <n v="0"/>
    <n v="7"/>
    <n v="0"/>
    <s v="Lucknow Super Giants"/>
    <s v="Lost"/>
    <s v="IPL25-M019"/>
    <s v="No"/>
    <n v="21"/>
  </r>
  <r>
    <s v="IPL25-P105"/>
    <x v="104"/>
    <x v="6"/>
    <x v="6"/>
    <s v="Bangladeshi"/>
    <x v="3"/>
    <s v="Right-handed"/>
    <s v="None"/>
    <n v="9"/>
    <n v="8"/>
    <n v="2"/>
    <n v="207"/>
    <n v="58"/>
    <n v="34.5"/>
    <n v="119.6"/>
    <n v="0"/>
    <n v="0"/>
    <n v="17"/>
    <n v="9"/>
    <n v="0"/>
    <n v="0"/>
    <s v="-"/>
    <s v="-"/>
    <s v="-"/>
    <s v="-"/>
    <n v="0"/>
    <n v="0"/>
    <n v="2"/>
    <n v="1"/>
    <s v="Delhi Capitals"/>
    <s v="Won"/>
    <s v="IPL25-M044"/>
    <s v="No"/>
    <n v="3"/>
  </r>
  <r>
    <s v="IPL25-P106"/>
    <x v="48"/>
    <x v="7"/>
    <x v="7"/>
    <s v="Indian"/>
    <x v="0"/>
    <s v="Right-handed"/>
    <s v="Left-arm Fast"/>
    <n v="8"/>
    <n v="6"/>
    <n v="0"/>
    <n v="115"/>
    <n v="9"/>
    <n v="19.170000000000002"/>
    <n v="126.45"/>
    <n v="0"/>
    <n v="0"/>
    <n v="9"/>
    <n v="5"/>
    <n v="1"/>
    <n v="7"/>
    <n v="32.17"/>
    <n v="9.92"/>
    <n v="17.39"/>
    <s v="5/41"/>
    <n v="0"/>
    <n v="20.5"/>
    <n v="3"/>
    <n v="0"/>
    <s v="Lucknow Super Giants"/>
    <s v="Won"/>
    <s v="IPL25-M016"/>
    <s v="No"/>
    <n v="12.5"/>
  </r>
  <r>
    <s v="IPL25-P107"/>
    <x v="105"/>
    <x v="7"/>
    <x v="7"/>
    <s v="Afghan"/>
    <x v="1"/>
    <s v="Left-handed"/>
    <s v="Right-arm Off-spin"/>
    <n v="13"/>
    <n v="11"/>
    <n v="1"/>
    <n v="366"/>
    <n v="45"/>
    <n v="36.6"/>
    <n v="110.69"/>
    <n v="0"/>
    <n v="0"/>
    <n v="34"/>
    <n v="17"/>
    <n v="0"/>
    <n v="23"/>
    <n v="23.66"/>
    <n v="10.38"/>
    <n v="11.75"/>
    <s v="5/22"/>
    <n v="0"/>
    <n v="36.799999999999997"/>
    <n v="8"/>
    <n v="0"/>
    <s v="Gujarat Titans"/>
    <s v="Won"/>
    <s v="IPL25-M031"/>
    <s v="No"/>
    <n v="0.5"/>
  </r>
  <r>
    <s v="IPL25-P108"/>
    <x v="106"/>
    <x v="7"/>
    <x v="7"/>
    <s v="Indian"/>
    <x v="2"/>
    <s v="Right-handed"/>
    <s v="None"/>
    <n v="14"/>
    <n v="13"/>
    <n v="1"/>
    <n v="639"/>
    <n v="71"/>
    <n v="53.25"/>
    <n v="140.6"/>
    <n v="0"/>
    <n v="0"/>
    <n v="65"/>
    <n v="30"/>
    <n v="0"/>
    <n v="0"/>
    <s v="-"/>
    <s v="-"/>
    <s v="-"/>
    <s v="-"/>
    <n v="0"/>
    <n v="0"/>
    <n v="14"/>
    <n v="0"/>
    <s v="Kolkata Knight Riders"/>
    <s v="Lost"/>
    <s v="IPL25-M026"/>
    <s v="No"/>
    <n v="18"/>
  </r>
  <r>
    <s v="IPL25-P109"/>
    <x v="107"/>
    <x v="7"/>
    <x v="7"/>
    <s v="Indian"/>
    <x v="1"/>
    <s v="Right-handed"/>
    <s v="Right-arm Medium"/>
    <n v="8"/>
    <n v="8"/>
    <n v="2"/>
    <n v="269"/>
    <n v="111"/>
    <n v="44.83"/>
    <n v="122.04"/>
    <n v="0"/>
    <n v="0"/>
    <n v="31"/>
    <n v="24"/>
    <n v="0"/>
    <n v="8"/>
    <n v="25.44"/>
    <n v="8.33"/>
    <n v="14.45"/>
    <s v="3/41"/>
    <n v="0"/>
    <n v="25.6"/>
    <n v="8"/>
    <n v="0"/>
    <s v="Lucknow Super Giants"/>
    <s v="Lost"/>
    <s v="IPL25-M009"/>
    <s v="No"/>
    <n v="18"/>
  </r>
  <r>
    <s v="IPL25-P110"/>
    <x v="108"/>
    <x v="7"/>
    <x v="7"/>
    <s v="West Indian"/>
    <x v="2"/>
    <s v="Left-handed"/>
    <s v="None"/>
    <n v="8"/>
    <n v="7"/>
    <n v="2"/>
    <n v="238"/>
    <n v="50"/>
    <n v="47.6"/>
    <n v="143.96"/>
    <n v="0"/>
    <n v="0"/>
    <n v="30"/>
    <n v="9"/>
    <n v="0"/>
    <n v="0"/>
    <s v="-"/>
    <s v="-"/>
    <s v="-"/>
    <s v="-"/>
    <n v="0"/>
    <n v="0"/>
    <n v="2"/>
    <n v="0"/>
    <s v="Delhi Capitals"/>
    <s v="Lost"/>
    <s v="IPL25-M004"/>
    <s v="No"/>
    <n v="10"/>
  </r>
  <r>
    <s v="IPL25-P111"/>
    <x v="109"/>
    <x v="7"/>
    <x v="7"/>
    <s v="Indian"/>
    <x v="2"/>
    <s v="Right-handed"/>
    <s v="None"/>
    <n v="12"/>
    <n v="12"/>
    <n v="3"/>
    <n v="200"/>
    <n v="76"/>
    <n v="22.22"/>
    <n v="129.31"/>
    <n v="0"/>
    <n v="0"/>
    <n v="22"/>
    <n v="21"/>
    <n v="1"/>
    <n v="0"/>
    <s v="-"/>
    <s v="-"/>
    <s v="-"/>
    <s v="-"/>
    <n v="0"/>
    <n v="0"/>
    <n v="12"/>
    <n v="0"/>
    <s v="Kolkata Knight Riders"/>
    <s v="Lost"/>
    <s v="IPL25-M026"/>
    <s v="No"/>
    <n v="5"/>
  </r>
  <r>
    <s v="IPL25-P112"/>
    <x v="110"/>
    <x v="7"/>
    <x v="7"/>
    <s v="Indian"/>
    <x v="0"/>
    <s v="Left-handed"/>
    <s v="Right-arm Medium"/>
    <n v="11"/>
    <n v="11"/>
    <n v="2"/>
    <n v="44"/>
    <n v="35"/>
    <n v="4.8899999999999997"/>
    <n v="117.25"/>
    <n v="0"/>
    <n v="0"/>
    <n v="3"/>
    <n v="2"/>
    <n v="3"/>
    <n v="9"/>
    <n v="31.56"/>
    <n v="9.1300000000000008"/>
    <n v="10.59"/>
    <s v="5/35"/>
    <n v="0"/>
    <n v="28.1"/>
    <n v="3"/>
    <n v="0"/>
    <s v="Lucknow Super Giants"/>
    <s v="Won"/>
    <s v="IPL25-M016"/>
    <s v="No"/>
    <n v="12.5"/>
  </r>
  <r>
    <s v="IPL25-P113"/>
    <x v="111"/>
    <x v="7"/>
    <x v="7"/>
    <s v="Indian"/>
    <x v="0"/>
    <s v="Right-handed"/>
    <s v="Right-arm Fast"/>
    <n v="14"/>
    <n v="13"/>
    <n v="3"/>
    <n v="276"/>
    <n v="29"/>
    <n v="27.6"/>
    <n v="118.29"/>
    <n v="0"/>
    <n v="0"/>
    <n v="23"/>
    <n v="13"/>
    <n v="3"/>
    <n v="31"/>
    <n v="31.07"/>
    <n v="6.57"/>
    <n v="11.4"/>
    <s v="5/28"/>
    <n v="0"/>
    <n v="48.8"/>
    <n v="9"/>
    <n v="0"/>
    <s v="Royal Challengers Bengaluru"/>
    <s v="Won"/>
    <s v="IPL25-M011"/>
    <s v="No"/>
    <n v="12.5"/>
  </r>
  <r>
    <s v="IPL25-P114"/>
    <x v="112"/>
    <x v="7"/>
    <x v="7"/>
    <s v="Indian"/>
    <x v="2"/>
    <s v="Right-handed"/>
    <s v="None"/>
    <n v="13"/>
    <n v="12"/>
    <n v="3"/>
    <n v="314"/>
    <n v="33"/>
    <n v="34.89"/>
    <n v="167.53"/>
    <n v="0"/>
    <n v="0"/>
    <n v="31"/>
    <n v="31"/>
    <n v="0"/>
    <n v="0"/>
    <s v="-"/>
    <s v="-"/>
    <s v="-"/>
    <s v="-"/>
    <n v="0"/>
    <n v="0"/>
    <n v="11"/>
    <n v="0"/>
    <s v="Lucknow Super Giants"/>
    <s v="Won"/>
    <s v="IPL25-M016"/>
    <s v="No"/>
    <n v="2"/>
  </r>
  <r>
    <s v="IPL25-P115"/>
    <x v="113"/>
    <x v="7"/>
    <x v="7"/>
    <s v="Indian"/>
    <x v="1"/>
    <s v="Left-handed"/>
    <s v="Right-arm Fast"/>
    <n v="14"/>
    <n v="14"/>
    <n v="1"/>
    <n v="254"/>
    <n v="81"/>
    <n v="19.54"/>
    <n v="182.1"/>
    <n v="0"/>
    <n v="0"/>
    <n v="28"/>
    <n v="28"/>
    <n v="1"/>
    <n v="8"/>
    <n v="19.739999999999998"/>
    <n v="6.81"/>
    <n v="19.8"/>
    <s v="3/31"/>
    <n v="0"/>
    <n v="41.3"/>
    <n v="11"/>
    <n v="0"/>
    <s v="Gujarat Titans"/>
    <s v="Lost"/>
    <s v="IPL25-M017"/>
    <s v="No"/>
    <n v="6"/>
  </r>
  <r>
    <s v="IPL25-P116"/>
    <x v="114"/>
    <x v="7"/>
    <x v="7"/>
    <s v="Indian"/>
    <x v="0"/>
    <s v="Right-handed"/>
    <s v="Left-arm Spin"/>
    <n v="11"/>
    <n v="10"/>
    <n v="0"/>
    <n v="244"/>
    <n v="39"/>
    <n v="24.4"/>
    <n v="90.58"/>
    <n v="0"/>
    <n v="0"/>
    <n v="20"/>
    <n v="12"/>
    <n v="2"/>
    <n v="16"/>
    <n v="14.87"/>
    <n v="6.8"/>
    <n v="13.2"/>
    <s v="5/32"/>
    <n v="0"/>
    <n v="40.9"/>
    <n v="7"/>
    <n v="0"/>
    <s v="Chennai Super Kings"/>
    <s v="Lost"/>
    <s v="IPL25-M048"/>
    <s v="No"/>
    <n v="0.75"/>
  </r>
  <r>
    <s v="IPL25-P117"/>
    <x v="115"/>
    <x v="7"/>
    <x v="7"/>
    <s v="Indian"/>
    <x v="0"/>
    <s v="Right-handed"/>
    <s v="Right-arm Fast"/>
    <n v="10"/>
    <n v="8"/>
    <n v="0"/>
    <n v="47"/>
    <n v="21"/>
    <n v="5.88"/>
    <n v="123.42"/>
    <n v="0"/>
    <n v="0"/>
    <n v="3"/>
    <n v="2"/>
    <n v="2"/>
    <n v="13"/>
    <n v="18.649999999999999"/>
    <n v="8.67"/>
    <n v="11.13"/>
    <s v="4/31"/>
    <n v="0"/>
    <n v="32.700000000000003"/>
    <n v="2"/>
    <n v="0"/>
    <s v="Lucknow Super Giants"/>
    <s v="Lost"/>
    <s v="IPL25-M009"/>
    <s v="No"/>
    <n v="0.5"/>
  </r>
  <r>
    <s v="IPL25-P118"/>
    <x v="116"/>
    <x v="7"/>
    <x v="7"/>
    <s v="South African"/>
    <x v="2"/>
    <s v="Right-handed"/>
    <s v="None"/>
    <n v="13"/>
    <n v="12"/>
    <n v="3"/>
    <n v="299"/>
    <n v="45"/>
    <n v="33.22"/>
    <n v="183.16"/>
    <n v="0"/>
    <n v="0"/>
    <n v="32"/>
    <n v="27"/>
    <n v="1"/>
    <n v="0"/>
    <s v="-"/>
    <s v="-"/>
    <s v="-"/>
    <s v="-"/>
    <n v="0"/>
    <n v="0"/>
    <n v="7"/>
    <n v="0"/>
    <s v="Kolkata Knight Riders"/>
    <s v="Lost"/>
    <s v="IPL25-M026"/>
    <s v="No"/>
    <n v="0.5"/>
  </r>
  <r>
    <s v="IPL25-P119"/>
    <x v="117"/>
    <x v="7"/>
    <x v="7"/>
    <s v="Sri Lankan"/>
    <x v="0"/>
    <s v="Left-handed"/>
    <s v="Right-arm Off-spin"/>
    <n v="12"/>
    <n v="10"/>
    <n v="1"/>
    <n v="95"/>
    <n v="17"/>
    <n v="10.56"/>
    <n v="93.33"/>
    <n v="0"/>
    <n v="0"/>
    <n v="7"/>
    <n v="4"/>
    <n v="2"/>
    <n v="6"/>
    <n v="32.340000000000003"/>
    <n v="9.19"/>
    <n v="18.239999999999998"/>
    <s v="3/24"/>
    <n v="0"/>
    <n v="41.7"/>
    <n v="9"/>
    <n v="0"/>
    <s v="Gujarat Titans"/>
    <s v="Won"/>
    <s v="IPL25-M031"/>
    <s v="No"/>
    <n v="18"/>
  </r>
  <r>
    <s v="IPL25-P120"/>
    <x v="118"/>
    <x v="7"/>
    <x v="7"/>
    <s v="Indian"/>
    <x v="0"/>
    <s v="Left-handed"/>
    <s v="Left-arm Medium"/>
    <n v="12"/>
    <n v="11"/>
    <n v="0"/>
    <n v="98"/>
    <n v="18"/>
    <n v="8.91"/>
    <n v="129.94999999999999"/>
    <n v="0"/>
    <n v="0"/>
    <n v="8"/>
    <n v="4"/>
    <n v="2"/>
    <n v="21"/>
    <n v="19.3"/>
    <n v="8.65"/>
    <n v="15.99"/>
    <s v="4/14"/>
    <n v="0"/>
    <n v="40.9"/>
    <n v="5"/>
    <n v="0"/>
    <s v="Kolkata Knight Riders"/>
    <s v="Lost"/>
    <s v="IPL25-M026"/>
    <s v="No"/>
    <n v="2"/>
  </r>
  <r>
    <s v="IPL25-P121"/>
    <x v="119"/>
    <x v="8"/>
    <x v="8"/>
    <s v="Sri Lankan"/>
    <x v="1"/>
    <s v="Right-handed"/>
    <s v="Right-arm Fast"/>
    <n v="10"/>
    <n v="10"/>
    <n v="1"/>
    <n v="394"/>
    <n v="49"/>
    <n v="43.78"/>
    <n v="123.16"/>
    <n v="0"/>
    <n v="0"/>
    <n v="37"/>
    <n v="43"/>
    <n v="0"/>
    <n v="8"/>
    <n v="15.43"/>
    <n v="8.61"/>
    <n v="18.29"/>
    <s v="4/36"/>
    <n v="0"/>
    <n v="33"/>
    <n v="4"/>
    <n v="0"/>
    <s v="Rajasthan Royals"/>
    <s v="Won"/>
    <s v="IPL25-M019"/>
    <s v="No"/>
    <n v="0.2"/>
  </r>
  <r>
    <s v="IPL25-P122"/>
    <x v="120"/>
    <x v="8"/>
    <x v="8"/>
    <s v="Indian"/>
    <x v="1"/>
    <s v="Left-handed"/>
    <s v="Right-arm Fast"/>
    <n v="8"/>
    <n v="6"/>
    <n v="2"/>
    <n v="186"/>
    <n v="37"/>
    <n v="46.5"/>
    <n v="132.41"/>
    <n v="0"/>
    <n v="0"/>
    <n v="19"/>
    <n v="16"/>
    <n v="0"/>
    <n v="15"/>
    <n v="21.6"/>
    <n v="9.6"/>
    <n v="10.41"/>
    <s v="2/16"/>
    <n v="0"/>
    <n v="29.5"/>
    <n v="4"/>
    <n v="0"/>
    <s v="Chennai Super Kings"/>
    <s v="Won"/>
    <s v="IPL25-M042"/>
    <s v="No"/>
    <n v="0.4"/>
  </r>
  <r>
    <s v="IPL25-P123"/>
    <x v="121"/>
    <x v="8"/>
    <x v="8"/>
    <s v="Indian"/>
    <x v="1"/>
    <s v="Right-handed"/>
    <s v="Right-arm Leg-spin"/>
    <n v="12"/>
    <n v="10"/>
    <n v="1"/>
    <n v="331"/>
    <n v="66"/>
    <n v="36.78"/>
    <n v="179.06"/>
    <n v="0"/>
    <n v="0"/>
    <n v="37"/>
    <n v="34"/>
    <n v="0"/>
    <n v="26"/>
    <n v="14.84"/>
    <n v="10.06"/>
    <n v="19.850000000000001"/>
    <s v="3/38"/>
    <n v="0"/>
    <n v="40.799999999999997"/>
    <n v="5"/>
    <n v="0"/>
    <s v="Royal Challengers Bengaluru"/>
    <s v="Won"/>
    <s v="IPL25-M036"/>
    <s v="No"/>
    <n v="0.75"/>
  </r>
  <r>
    <s v="IPL25-P124"/>
    <x v="122"/>
    <x v="8"/>
    <x v="8"/>
    <s v="Indian"/>
    <x v="2"/>
    <s v="Right-handed"/>
    <s v="None"/>
    <n v="11"/>
    <n v="11"/>
    <n v="2"/>
    <n v="230"/>
    <n v="119"/>
    <n v="25.56"/>
    <n v="155"/>
    <n v="0"/>
    <n v="0"/>
    <n v="20"/>
    <n v="18"/>
    <n v="0"/>
    <n v="0"/>
    <s v="-"/>
    <s v="-"/>
    <s v="-"/>
    <s v="-"/>
    <n v="0"/>
    <n v="0"/>
    <n v="11"/>
    <n v="0"/>
    <s v="Mumbai Indians"/>
    <s v="Won"/>
    <s v="IPL25-M052"/>
    <s v="Yes"/>
    <n v="6"/>
  </r>
  <r>
    <s v="IPL25-P125"/>
    <x v="123"/>
    <x v="8"/>
    <x v="8"/>
    <s v="English"/>
    <x v="3"/>
    <s v="Right-handed"/>
    <s v="None"/>
    <n v="9"/>
    <n v="8"/>
    <n v="1"/>
    <n v="378"/>
    <n v="64"/>
    <n v="54"/>
    <n v="132.53"/>
    <n v="0"/>
    <n v="0"/>
    <n v="46"/>
    <n v="23"/>
    <n v="0"/>
    <n v="0"/>
    <s v="-"/>
    <s v="-"/>
    <s v="-"/>
    <s v="-"/>
    <n v="0"/>
    <n v="0"/>
    <n v="5"/>
    <n v="4"/>
    <s v="Gujarat Titans"/>
    <s v="Lost"/>
    <s v="IPL25-M072"/>
    <s v="No"/>
    <n v="4"/>
  </r>
  <r>
    <s v="IPL25-P126"/>
    <x v="124"/>
    <x v="8"/>
    <x v="8"/>
    <s v="Indian"/>
    <x v="2"/>
    <s v="Right-handed"/>
    <s v="None"/>
    <n v="8"/>
    <n v="7"/>
    <n v="0"/>
    <n v="381"/>
    <n v="108"/>
    <n v="54.43"/>
    <n v="111.89"/>
    <n v="0"/>
    <n v="0"/>
    <n v="38"/>
    <n v="40"/>
    <n v="0"/>
    <n v="0"/>
    <s v="-"/>
    <s v="-"/>
    <s v="-"/>
    <s v="-"/>
    <n v="0"/>
    <n v="0"/>
    <n v="2"/>
    <n v="0"/>
    <s v="Kolkata Knight Riders"/>
    <s v="Lost"/>
    <s v="IPL25-M025"/>
    <s v="No"/>
    <n v="3"/>
  </r>
  <r>
    <s v="IPL25-P127"/>
    <x v="125"/>
    <x v="8"/>
    <x v="8"/>
    <s v="New Zealand"/>
    <x v="0"/>
    <s v="Right-handed"/>
    <s v="Left-arm Fast"/>
    <n v="10"/>
    <n v="8"/>
    <n v="3"/>
    <n v="231"/>
    <n v="10"/>
    <n v="46.2"/>
    <n v="99.22"/>
    <n v="0"/>
    <n v="0"/>
    <n v="19"/>
    <n v="11"/>
    <n v="0"/>
    <n v="14"/>
    <n v="15.23"/>
    <n v="7.5"/>
    <n v="18.45"/>
    <s v="5/39"/>
    <n v="0"/>
    <n v="28.3"/>
    <n v="2"/>
    <n v="0"/>
    <s v="Kolkata Knight Riders"/>
    <s v="Lost"/>
    <s v="IPL25-M059"/>
    <s v="No"/>
    <n v="15"/>
  </r>
  <r>
    <s v="IPL25-P128"/>
    <x v="126"/>
    <x v="8"/>
    <x v="8"/>
    <s v="Australian"/>
    <x v="1"/>
    <s v="Right-handed"/>
    <s v="Right-arm Off-spin"/>
    <n v="12"/>
    <n v="10"/>
    <n v="3"/>
    <n v="129"/>
    <n v="81"/>
    <n v="18.43"/>
    <n v="125.06"/>
    <n v="0"/>
    <n v="0"/>
    <n v="13"/>
    <n v="11"/>
    <n v="0"/>
    <n v="18"/>
    <n v="16.510000000000002"/>
    <n v="9.75"/>
    <n v="16.43"/>
    <s v="4/26"/>
    <n v="0"/>
    <n v="32.200000000000003"/>
    <n v="10"/>
    <n v="0"/>
    <s v="Rajasthan Royals"/>
    <s v="Won"/>
    <s v="IPL25-M019"/>
    <s v="No"/>
    <n v="5"/>
  </r>
  <r>
    <s v="IPL25-P129"/>
    <x v="127"/>
    <x v="8"/>
    <x v="8"/>
    <s v="South African"/>
    <x v="2"/>
    <s v="Left-handed"/>
    <s v="None"/>
    <n v="13"/>
    <n v="12"/>
    <n v="3"/>
    <n v="175"/>
    <n v="91"/>
    <n v="19.440000000000001"/>
    <n v="152.94999999999999"/>
    <n v="0"/>
    <n v="0"/>
    <n v="17"/>
    <n v="10"/>
    <n v="0"/>
    <n v="0"/>
    <s v="-"/>
    <s v="-"/>
    <s v="-"/>
    <s v="-"/>
    <n v="0"/>
    <n v="0"/>
    <n v="11"/>
    <n v="0"/>
    <s v="Kolkata Knight Riders"/>
    <s v="Lost"/>
    <s v="IPL25-M025"/>
    <s v="No"/>
    <n v="7.5"/>
  </r>
  <r>
    <s v="IPL25-P130"/>
    <x v="128"/>
    <x v="8"/>
    <x v="8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131"/>
    <x v="129"/>
    <x v="8"/>
    <x v="8"/>
    <s v="Indian"/>
    <x v="0"/>
    <s v="Left-handed"/>
    <s v="Left-arm Medium"/>
    <n v="14"/>
    <n v="13"/>
    <n v="1"/>
    <n v="200"/>
    <n v="21"/>
    <n v="16.670000000000002"/>
    <n v="99.34"/>
    <n v="0"/>
    <n v="0"/>
    <n v="16"/>
    <n v="10"/>
    <n v="0"/>
    <n v="8"/>
    <n v="31.86"/>
    <n v="10.220000000000001"/>
    <n v="18.82"/>
    <s v="2/42"/>
    <n v="0"/>
    <n v="46.4"/>
    <n v="3"/>
    <n v="0"/>
    <s v="Kolkata Knight Riders"/>
    <s v="Lost"/>
    <s v="IPL25-M059"/>
    <s v="No"/>
    <n v="5"/>
  </r>
  <r>
    <s v="IPL25-P132"/>
    <x v="130"/>
    <x v="8"/>
    <x v="8"/>
    <s v="Indian"/>
    <x v="0"/>
    <s v="Left-handed"/>
    <s v="Right-arm Medium"/>
    <n v="9"/>
    <n v="9"/>
    <n v="1"/>
    <n v="127"/>
    <n v="38"/>
    <n v="15.88"/>
    <n v="125.17"/>
    <n v="0"/>
    <n v="0"/>
    <n v="10"/>
    <n v="6"/>
    <n v="2"/>
    <n v="0"/>
    <n v="33.51"/>
    <n v="10.43"/>
    <n v="17.920000000000002"/>
    <s v="0/30"/>
    <n v="0"/>
    <n v="32.700000000000003"/>
    <n v="5"/>
    <n v="0"/>
    <s v="Royal Challengers Bengaluru"/>
    <s v="Won"/>
    <s v="IPL25-M036"/>
    <s v="No"/>
    <n v="7.5"/>
  </r>
  <r>
    <s v="IPL25-P133"/>
    <x v="131"/>
    <x v="8"/>
    <x v="8"/>
    <s v="New Zealand"/>
    <x v="1"/>
    <s v="Left-handed"/>
    <s v="Left-arm Medium"/>
    <n v="10"/>
    <n v="10"/>
    <n v="1"/>
    <n v="472"/>
    <n v="49"/>
    <n v="52.44"/>
    <n v="178.7"/>
    <n v="0"/>
    <n v="0"/>
    <n v="56"/>
    <n v="53"/>
    <n v="0"/>
    <n v="15"/>
    <n v="18.670000000000002"/>
    <n v="7.76"/>
    <n v="16.13"/>
    <s v="4/10"/>
    <n v="0"/>
    <n v="33.1"/>
    <n v="9"/>
    <n v="0"/>
    <s v="Royal Challengers Bengaluru"/>
    <s v="Won"/>
    <s v="IPL25-M036"/>
    <s v="No"/>
    <n v="4"/>
  </r>
  <r>
    <s v="IPL25-P134"/>
    <x v="132"/>
    <x v="8"/>
    <x v="8"/>
    <s v="Pakistani"/>
    <x v="2"/>
    <s v="Right-handed"/>
    <s v="None"/>
    <n v="10"/>
    <n v="10"/>
    <n v="2"/>
    <n v="236"/>
    <n v="59"/>
    <n v="29.5"/>
    <n v="184.33"/>
    <n v="0"/>
    <n v="0"/>
    <n v="28"/>
    <n v="20"/>
    <n v="0"/>
    <n v="0"/>
    <s v="-"/>
    <s v="-"/>
    <s v="-"/>
    <s v="-"/>
    <n v="0"/>
    <n v="0"/>
    <n v="2"/>
    <n v="0"/>
    <s v="Chennai Super Kings"/>
    <s v="Won"/>
    <s v="IPL25-M042"/>
    <s v="No"/>
    <n v="21"/>
  </r>
  <r>
    <s v="IPL25-P135"/>
    <x v="133"/>
    <x v="8"/>
    <x v="8"/>
    <s v="Indian"/>
    <x v="2"/>
    <s v="Left-handed"/>
    <s v="None"/>
    <n v="8"/>
    <n v="6"/>
    <n v="2"/>
    <n v="139"/>
    <n v="45"/>
    <n v="34.75"/>
    <n v="176.81"/>
    <n v="0"/>
    <n v="0"/>
    <n v="15"/>
    <n v="7"/>
    <n v="0"/>
    <n v="0"/>
    <s v="-"/>
    <s v="-"/>
    <s v="-"/>
    <s v="-"/>
    <n v="0"/>
    <n v="0"/>
    <n v="7"/>
    <n v="0"/>
    <s v="Gujarat Titans"/>
    <s v="Won"/>
    <s v="IPL25-M024"/>
    <s v="Yes"/>
    <n v="10"/>
  </r>
  <r>
    <s v="IPL25-P136"/>
    <x v="134"/>
    <x v="9"/>
    <x v="9"/>
    <s v="Indian"/>
    <x v="3"/>
    <s v="Left-handed"/>
    <s v="None"/>
    <n v="9"/>
    <n v="7"/>
    <n v="3"/>
    <n v="114"/>
    <n v="111"/>
    <n v="28.5"/>
    <n v="110.02"/>
    <n v="0"/>
    <n v="0"/>
    <n v="11"/>
    <n v="10"/>
    <n v="0"/>
    <n v="0"/>
    <s v="-"/>
    <s v="-"/>
    <s v="-"/>
    <s v="-"/>
    <n v="0"/>
    <n v="0"/>
    <n v="9"/>
    <n v="2"/>
    <s v="Chennai Super Kings"/>
    <s v="Won"/>
    <s v="IPL25-M063"/>
    <s v="No"/>
    <n v="1.5"/>
  </r>
  <r>
    <s v="IPL25-P137"/>
    <x v="2"/>
    <x v="9"/>
    <x v="9"/>
    <s v="Afghan"/>
    <x v="0"/>
    <s v="Right-handed"/>
    <s v="Left-arm Medium"/>
    <n v="11"/>
    <n v="11"/>
    <n v="0"/>
    <n v="180"/>
    <n v="24"/>
    <n v="16.36"/>
    <n v="109.47"/>
    <n v="0"/>
    <n v="0"/>
    <n v="15"/>
    <n v="9"/>
    <n v="0"/>
    <n v="15"/>
    <n v="27.44"/>
    <n v="8.08"/>
    <n v="11.52"/>
    <s v="3/23"/>
    <n v="0"/>
    <n v="31.3"/>
    <n v="5"/>
    <n v="0"/>
    <s v="Kolkata Knight Riders"/>
    <s v="Won"/>
    <s v="IPL25-M005"/>
    <s v="No"/>
    <n v="3"/>
  </r>
  <r>
    <s v="IPL25-P138"/>
    <x v="135"/>
    <x v="9"/>
    <x v="9"/>
    <s v="Indian"/>
    <x v="2"/>
    <s v="Left-handed"/>
    <s v="None"/>
    <n v="11"/>
    <n v="10"/>
    <n v="1"/>
    <n v="382"/>
    <n v="33"/>
    <n v="42.44"/>
    <n v="176.49"/>
    <n v="0"/>
    <n v="0"/>
    <n v="47"/>
    <n v="24"/>
    <n v="0"/>
    <n v="0"/>
    <s v="-"/>
    <s v="-"/>
    <s v="-"/>
    <s v="-"/>
    <n v="0"/>
    <n v="0"/>
    <n v="7"/>
    <n v="0"/>
    <s v="Rajasthan Royals"/>
    <s v="Lost"/>
    <s v="IPL25-M039"/>
    <s v="Yes"/>
    <n v="0.5"/>
  </r>
  <r>
    <s v="IPL25-P139"/>
    <x v="136"/>
    <x v="9"/>
    <x v="9"/>
    <s v="Sri Lankan"/>
    <x v="2"/>
    <s v="Left-handed"/>
    <s v="None"/>
    <n v="10"/>
    <n v="8"/>
    <n v="0"/>
    <n v="363"/>
    <n v="96"/>
    <n v="45.38"/>
    <n v="124.91"/>
    <n v="0"/>
    <n v="0"/>
    <n v="40"/>
    <n v="21"/>
    <n v="0"/>
    <n v="0"/>
    <s v="-"/>
    <s v="-"/>
    <s v="-"/>
    <s v="-"/>
    <n v="0"/>
    <n v="0"/>
    <n v="9"/>
    <n v="0"/>
    <s v="Lucknow Super Giants"/>
    <s v="Won"/>
    <s v="IPL25-M072"/>
    <s v="No"/>
    <n v="7.5"/>
  </r>
  <r>
    <s v="IPL25-P140"/>
    <x v="137"/>
    <x v="9"/>
    <x v="9"/>
    <s v="Indian"/>
    <x v="2"/>
    <s v="Left-handed"/>
    <s v="None"/>
    <n v="12"/>
    <n v="10"/>
    <n v="1"/>
    <n v="329"/>
    <n v="56"/>
    <n v="36.56"/>
    <n v="170.2"/>
    <n v="0"/>
    <n v="0"/>
    <n v="27"/>
    <n v="20"/>
    <n v="0"/>
    <n v="0"/>
    <s v="-"/>
    <s v="-"/>
    <s v="-"/>
    <s v="-"/>
    <n v="0"/>
    <n v="0"/>
    <n v="6"/>
    <n v="0"/>
    <s v="Chennai Super Kings"/>
    <s v="Lost"/>
    <s v="IPL25-M074"/>
    <s v="No"/>
    <n v="4"/>
  </r>
  <r>
    <s v="IPL25-P141"/>
    <x v="138"/>
    <x v="9"/>
    <x v="9"/>
    <s v="Indian"/>
    <x v="2"/>
    <s v="Right-handed"/>
    <s v="None"/>
    <n v="13"/>
    <n v="11"/>
    <n v="2"/>
    <n v="313"/>
    <n v="35"/>
    <n v="34.78"/>
    <n v="153.85"/>
    <n v="0"/>
    <n v="0"/>
    <n v="31"/>
    <n v="13"/>
    <n v="0"/>
    <n v="0"/>
    <s v="-"/>
    <s v="-"/>
    <s v="-"/>
    <s v="-"/>
    <n v="0"/>
    <n v="0"/>
    <n v="9"/>
    <n v="0"/>
    <s v="Mumbai Indians"/>
    <s v="Lost"/>
    <s v="IPL25-M002"/>
    <s v="Yes"/>
    <n v="0.5"/>
  </r>
  <r>
    <s v="IPL25-P142"/>
    <x v="139"/>
    <x v="9"/>
    <x v="9"/>
    <s v="South African"/>
    <x v="1"/>
    <s v="Right-handed"/>
    <s v="Left-arm Medium"/>
    <n v="14"/>
    <n v="13"/>
    <n v="3"/>
    <n v="420"/>
    <n v="103"/>
    <n v="42"/>
    <n v="156.47999999999999"/>
    <n v="0"/>
    <n v="0"/>
    <n v="33"/>
    <n v="18"/>
    <n v="0"/>
    <n v="18"/>
    <n v="21.83"/>
    <n v="6.68"/>
    <n v="17.52"/>
    <s v="4/13"/>
    <n v="0"/>
    <n v="48.5"/>
    <n v="6"/>
    <n v="0"/>
    <s v="Royal Challengers Bengaluru"/>
    <s v="Won"/>
    <s v="IPL25-M060"/>
    <s v="No"/>
    <n v="0.4"/>
  </r>
  <r>
    <s v="IPL25-P143"/>
    <x v="140"/>
    <x v="9"/>
    <x v="9"/>
    <s v="Indian"/>
    <x v="2"/>
    <s v="Left-handed"/>
    <s v="None"/>
    <n v="12"/>
    <n v="11"/>
    <n v="1"/>
    <n v="461"/>
    <n v="77"/>
    <n v="46.1"/>
    <n v="115.23"/>
    <n v="0"/>
    <n v="0"/>
    <n v="40"/>
    <n v="35"/>
    <n v="0"/>
    <n v="0"/>
    <s v="-"/>
    <s v="-"/>
    <s v="-"/>
    <s v="-"/>
    <n v="0"/>
    <n v="0"/>
    <n v="2"/>
    <n v="0"/>
    <s v="Lucknow Super Giants"/>
    <s v="Lost"/>
    <s v="IPL25-M024"/>
    <s v="No"/>
    <n v="18"/>
  </r>
  <r>
    <s v="IPL25-P144"/>
    <x v="141"/>
    <x v="9"/>
    <x v="9"/>
    <s v="Afghan"/>
    <x v="2"/>
    <s v="Right-handed"/>
    <s v="None"/>
    <n v="14"/>
    <n v="12"/>
    <n v="1"/>
    <n v="580"/>
    <n v="64"/>
    <n v="52.73"/>
    <n v="127.09"/>
    <n v="0"/>
    <n v="0"/>
    <n v="46"/>
    <n v="33"/>
    <n v="0"/>
    <n v="0"/>
    <s v="-"/>
    <s v="-"/>
    <s v="-"/>
    <s v="-"/>
    <n v="0"/>
    <n v="0"/>
    <n v="4"/>
    <n v="0"/>
    <s v="Chennai Super Kings"/>
    <s v="Lost"/>
    <s v="IPL25-M022"/>
    <s v="No"/>
    <n v="4"/>
  </r>
  <r>
    <s v="IPL25-P145"/>
    <x v="142"/>
    <x v="9"/>
    <x v="9"/>
    <s v="Indian"/>
    <x v="2"/>
    <s v="Right-handed"/>
    <s v="None"/>
    <n v="10"/>
    <n v="8"/>
    <n v="0"/>
    <n v="394"/>
    <n v="101"/>
    <n v="49.25"/>
    <n v="152.62"/>
    <n v="0"/>
    <n v="0"/>
    <n v="35"/>
    <n v="32"/>
    <n v="0"/>
    <n v="0"/>
    <s v="-"/>
    <s v="-"/>
    <s v="-"/>
    <s v="-"/>
    <n v="0"/>
    <n v="0"/>
    <n v="5"/>
    <n v="0"/>
    <s v="Chennai Super Kings"/>
    <s v="Won"/>
    <s v="IPL25-M063"/>
    <s v="Yes"/>
    <n v="0.2"/>
  </r>
  <r>
    <s v="IPL25-P146"/>
    <x v="143"/>
    <x v="9"/>
    <x v="9"/>
    <s v="English"/>
    <x v="0"/>
    <s v="Right-handed"/>
    <s v="Right-arm Medium"/>
    <n v="9"/>
    <n v="9"/>
    <n v="3"/>
    <n v="169"/>
    <n v="34"/>
    <n v="28.17"/>
    <n v="99.05"/>
    <n v="0"/>
    <n v="0"/>
    <n v="14"/>
    <n v="8"/>
    <n v="0"/>
    <n v="3"/>
    <n v="17.690000000000001"/>
    <n v="7.72"/>
    <n v="11.92"/>
    <s v="3/26"/>
    <n v="0"/>
    <n v="29.1"/>
    <n v="5"/>
    <n v="0"/>
    <s v="Sunrisers Hyderabad"/>
    <s v="Won"/>
    <s v="IPL25-M017"/>
    <s v="No"/>
    <n v="2"/>
  </r>
  <r>
    <s v="IPL25-P147"/>
    <x v="144"/>
    <x v="9"/>
    <x v="9"/>
    <s v="Bangladeshi"/>
    <x v="0"/>
    <s v="Right-handed"/>
    <s v="Left-arm Medium"/>
    <n v="10"/>
    <n v="8"/>
    <n v="3"/>
    <n v="220"/>
    <n v="27"/>
    <n v="44"/>
    <n v="122.89"/>
    <n v="0"/>
    <n v="0"/>
    <n v="18"/>
    <n v="11"/>
    <n v="2"/>
    <n v="11"/>
    <n v="24.8"/>
    <n v="10.119999999999999"/>
    <n v="11.64"/>
    <s v="5/21"/>
    <n v="0"/>
    <n v="37.9"/>
    <n v="5"/>
    <n v="0"/>
    <s v="Royal Challengers Bengaluru"/>
    <s v="Won"/>
    <s v="IPL25-M060"/>
    <s v="No"/>
    <n v="0.2"/>
  </r>
  <r>
    <s v="IPL25-P148"/>
    <x v="145"/>
    <x v="9"/>
    <x v="9"/>
    <s v="Indian"/>
    <x v="0"/>
    <s v="Left-handed"/>
    <s v="Right-arm Medium"/>
    <n v="9"/>
    <n v="8"/>
    <n v="3"/>
    <n v="107"/>
    <n v="10"/>
    <n v="21.4"/>
    <n v="103.61"/>
    <n v="0"/>
    <n v="0"/>
    <n v="8"/>
    <n v="5"/>
    <n v="1"/>
    <n v="12"/>
    <n v="28.16"/>
    <n v="10.37"/>
    <n v="12.24"/>
    <s v="3/40"/>
    <n v="0"/>
    <n v="24.1"/>
    <n v="4"/>
    <n v="0"/>
    <s v="Punjab Kings"/>
    <s v="Lost"/>
    <s v="IPL25-M010"/>
    <s v="No"/>
    <n v="1.5"/>
  </r>
  <r>
    <s v="IPL25-P149"/>
    <x v="146"/>
    <x v="9"/>
    <x v="9"/>
    <s v="Sri Lankan"/>
    <x v="0"/>
    <s v="Left-handed"/>
    <s v="Left-arm Medium"/>
    <n v="9"/>
    <n v="7"/>
    <n v="0"/>
    <n v="123"/>
    <n v="26"/>
    <n v="17.57"/>
    <n v="123.29"/>
    <n v="0"/>
    <n v="0"/>
    <n v="10"/>
    <n v="6"/>
    <n v="0"/>
    <n v="13"/>
    <n v="20.07"/>
    <n v="8.4600000000000009"/>
    <n v="12.35"/>
    <s v="2/23"/>
    <n v="0"/>
    <n v="25.6"/>
    <n v="7"/>
    <n v="0"/>
    <s v="Chennai Super Kings"/>
    <s v="Lost"/>
    <s v="IPL25-M022"/>
    <s v="No"/>
    <n v="21"/>
  </r>
  <r>
    <s v="IPL25-P150"/>
    <x v="147"/>
    <x v="9"/>
    <x v="9"/>
    <s v="Indian"/>
    <x v="1"/>
    <s v="Left-handed"/>
    <s v="Right-arm Medium"/>
    <n v="9"/>
    <n v="9"/>
    <n v="2"/>
    <n v="308"/>
    <n v="97"/>
    <n v="44"/>
    <n v="180.53"/>
    <n v="0"/>
    <n v="0"/>
    <n v="38"/>
    <n v="15"/>
    <n v="0"/>
    <n v="7"/>
    <n v="14.92"/>
    <n v="9.11"/>
    <n v="12"/>
    <s v="3/17"/>
    <n v="0"/>
    <n v="25.4"/>
    <n v="3"/>
    <n v="0"/>
    <s v="Kolkata Knight Riders"/>
    <s v="Lost"/>
    <s v="IPL25-M068"/>
    <s v="Yes"/>
    <n v="7.5"/>
  </r>
  <r>
    <s v="IPL25-P151"/>
    <x v="148"/>
    <x v="6"/>
    <x v="6"/>
    <s v="Indian"/>
    <x v="0"/>
    <s v="Right-handed"/>
    <s v="Right-arm Leg-spin"/>
    <n v="11"/>
    <n v="9"/>
    <n v="1"/>
    <n v="260"/>
    <n v="5"/>
    <n v="32.5"/>
    <n v="116.16"/>
    <n v="0"/>
    <n v="0"/>
    <n v="21"/>
    <n v="13"/>
    <n v="2"/>
    <n v="17"/>
    <n v="23.84"/>
    <n v="10.19"/>
    <n v="19.34"/>
    <s v="2/27"/>
    <n v="0"/>
    <n v="35"/>
    <n v="9"/>
    <n v="0"/>
    <s v="Gujarat Titans"/>
    <s v="Lost"/>
    <s v="IPL25-M008"/>
    <s v="No"/>
    <n v="0.2"/>
  </r>
  <r>
    <s v="IPL25-P152"/>
    <x v="149"/>
    <x v="3"/>
    <x v="3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153"/>
    <x v="150"/>
    <x v="9"/>
    <x v="9"/>
    <s v="Afghan"/>
    <x v="0"/>
    <s v="Right-handed"/>
    <s v="Left-arm Spin"/>
    <n v="14"/>
    <n v="13"/>
    <n v="1"/>
    <n v="133"/>
    <n v="10"/>
    <n v="11.08"/>
    <n v="122.19"/>
    <n v="0"/>
    <n v="0"/>
    <n v="11"/>
    <n v="6"/>
    <n v="1"/>
    <n v="15"/>
    <n v="18.690000000000001"/>
    <n v="9.6199999999999992"/>
    <n v="14.4"/>
    <s v="4/39"/>
    <n v="0"/>
    <n v="36.200000000000003"/>
    <n v="6"/>
    <n v="0"/>
    <s v="Chennai Super Kings"/>
    <s v="Lost"/>
    <s v="IPL25-M015"/>
    <s v="No"/>
    <n v="18"/>
  </r>
  <r>
    <s v="IPL25-P154"/>
    <x v="151"/>
    <x v="5"/>
    <x v="5"/>
    <s v="Bangladeshi"/>
    <x v="0"/>
    <s v="Right-handed"/>
    <s v="Right-arm Fast"/>
    <n v="14"/>
    <n v="14"/>
    <n v="1"/>
    <n v="230"/>
    <n v="15"/>
    <n v="17.690000000000001"/>
    <n v="104.85"/>
    <n v="0"/>
    <n v="0"/>
    <n v="19"/>
    <n v="11"/>
    <n v="3"/>
    <n v="16"/>
    <n v="29.63"/>
    <n v="8.8800000000000008"/>
    <n v="17.78"/>
    <s v="5/35"/>
    <n v="0"/>
    <n v="40"/>
    <n v="12"/>
    <n v="0"/>
    <s v="Delhi Capitals"/>
    <s v="Won"/>
    <s v="IPL25-M006"/>
    <s v="No"/>
    <n v="1.5"/>
  </r>
  <r>
    <s v="IPL25-P155"/>
    <x v="152"/>
    <x v="4"/>
    <x v="4"/>
    <s v="Afghan"/>
    <x v="0"/>
    <s v="Right-handed"/>
    <s v="Right-arm Off-spin"/>
    <n v="10"/>
    <n v="9"/>
    <n v="2"/>
    <n v="128"/>
    <n v="15"/>
    <n v="18.29"/>
    <n v="99.77"/>
    <n v="0"/>
    <n v="0"/>
    <n v="10"/>
    <n v="6"/>
    <n v="2"/>
    <n v="12"/>
    <n v="31.21"/>
    <n v="7.38"/>
    <n v="19.28"/>
    <s v="3/42"/>
    <n v="0"/>
    <n v="37.1"/>
    <n v="8"/>
    <n v="0"/>
    <s v="Chennai Super Kings"/>
    <s v="Won"/>
    <s v="IPL25-M070"/>
    <s v="Yes"/>
    <n v="5"/>
  </r>
  <r>
    <s v="IPL25-P156"/>
    <x v="153"/>
    <x v="5"/>
    <x v="5"/>
    <s v="Indian"/>
    <x v="0"/>
    <s v="Right-handed"/>
    <s v="Left-arm Spin"/>
    <n v="8"/>
    <n v="7"/>
    <n v="3"/>
    <n v="80"/>
    <n v="18"/>
    <n v="20"/>
    <n v="104.74"/>
    <n v="0"/>
    <n v="0"/>
    <n v="6"/>
    <n v="4"/>
    <n v="2"/>
    <n v="7"/>
    <n v="31.15"/>
    <n v="10.06"/>
    <n v="15.87"/>
    <s v="5/15"/>
    <n v="0"/>
    <n v="29.7"/>
    <n v="3"/>
    <n v="0"/>
    <s v="Rajasthan Royals"/>
    <s v="Won"/>
    <s v="IPL25-M054"/>
    <s v="No"/>
    <n v="1"/>
  </r>
  <r>
    <s v="IPL25-P157"/>
    <x v="154"/>
    <x v="1"/>
    <x v="1"/>
    <s v="Indian"/>
    <x v="0"/>
    <s v="Left-handed"/>
    <s v="Left-arm Medium"/>
    <n v="12"/>
    <n v="10"/>
    <n v="1"/>
    <n v="25"/>
    <n v="7"/>
    <n v="2.78"/>
    <n v="102.28"/>
    <n v="0"/>
    <n v="0"/>
    <n v="2"/>
    <n v="1"/>
    <n v="2"/>
    <n v="18"/>
    <n v="20.57"/>
    <n v="9.49"/>
    <n v="16.59"/>
    <s v="5/42"/>
    <n v="0"/>
    <n v="43"/>
    <n v="11"/>
    <n v="0"/>
    <s v="Royal Challengers Bengaluru"/>
    <s v="Lost"/>
    <s v="IPL25-M013"/>
    <s v="No"/>
    <n v="0.75"/>
  </r>
  <r>
    <s v="IPL25-P158"/>
    <x v="155"/>
    <x v="9"/>
    <x v="9"/>
    <s v="Indian"/>
    <x v="2"/>
    <s v="Right-handed"/>
    <s v="None"/>
    <n v="8"/>
    <n v="6"/>
    <n v="3"/>
    <n v="92"/>
    <n v="68"/>
    <n v="30.67"/>
    <n v="154.18"/>
    <n v="0"/>
    <n v="0"/>
    <n v="7"/>
    <n v="9"/>
    <n v="0"/>
    <n v="0"/>
    <s v="-"/>
    <s v="-"/>
    <s v="-"/>
    <s v="-"/>
    <n v="0"/>
    <n v="0"/>
    <n v="4"/>
    <n v="0"/>
    <s v="Kolkata Knight Riders"/>
    <s v="Lost"/>
    <s v="IPL25-M051"/>
    <s v="No"/>
    <n v="7.5"/>
  </r>
  <r>
    <s v="IPL25-P159"/>
    <x v="156"/>
    <x v="2"/>
    <x v="2"/>
    <s v="Indian"/>
    <x v="1"/>
    <s v="Right-handed"/>
    <s v="Right-arm Medium"/>
    <n v="8"/>
    <n v="8"/>
    <n v="2"/>
    <n v="269"/>
    <n v="111"/>
    <n v="44.83"/>
    <n v="122.04"/>
    <n v="0"/>
    <n v="0"/>
    <n v="31"/>
    <n v="24"/>
    <n v="0"/>
    <n v="8"/>
    <n v="25.44"/>
    <n v="8.33"/>
    <n v="14.45"/>
    <s v="3/41"/>
    <n v="0"/>
    <n v="25.6"/>
    <n v="8"/>
    <n v="0"/>
    <s v="Lucknow Super Giants"/>
    <s v="Lost"/>
    <s v="IPL25-M009"/>
    <s v="No"/>
    <n v="18"/>
  </r>
  <r>
    <s v="IPL25-P160"/>
    <x v="157"/>
    <x v="8"/>
    <x v="8"/>
    <s v="Australian"/>
    <x v="1"/>
    <s v="Right-handed"/>
    <s v="Left-arm Medium"/>
    <n v="14"/>
    <n v="12"/>
    <n v="3"/>
    <n v="362"/>
    <n v="71"/>
    <n v="40.22"/>
    <n v="141.91999999999999"/>
    <n v="0"/>
    <n v="0"/>
    <n v="34"/>
    <n v="35"/>
    <n v="0"/>
    <n v="12"/>
    <n v="31.48"/>
    <n v="7.61"/>
    <n v="10.53"/>
    <s v="2/23"/>
    <n v="0"/>
    <n v="48.5"/>
    <n v="4"/>
    <n v="0"/>
    <s v="Mumbai Indians"/>
    <s v="Won"/>
    <s v="IPL25-M037"/>
    <s v="No"/>
    <n v="0.5"/>
  </r>
  <r>
    <s v="IPL25-P161"/>
    <x v="158"/>
    <x v="1"/>
    <x v="1"/>
    <s v="English"/>
    <x v="0"/>
    <s v="Left-handed"/>
    <s v="Right-arm Fast"/>
    <n v="10"/>
    <n v="9"/>
    <n v="3"/>
    <n v="233"/>
    <n v="19"/>
    <n v="38.83"/>
    <n v="98.06"/>
    <n v="0"/>
    <n v="0"/>
    <n v="19"/>
    <n v="11"/>
    <n v="2"/>
    <n v="16"/>
    <n v="29.46"/>
    <n v="9.92"/>
    <n v="15.9"/>
    <s v="4/20"/>
    <n v="0"/>
    <n v="34"/>
    <n v="4"/>
    <n v="0"/>
    <s v="Delhi Capitals"/>
    <s v="Won"/>
    <s v="IPL25-M007"/>
    <s v="No"/>
    <n v="18"/>
  </r>
  <r>
    <s v="IPL25-P162"/>
    <x v="159"/>
    <x v="5"/>
    <x v="5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163"/>
    <x v="160"/>
    <x v="7"/>
    <x v="7"/>
    <s v="Indian"/>
    <x v="2"/>
    <s v="Right-handed"/>
    <s v="None"/>
    <n v="11"/>
    <n v="11"/>
    <n v="3"/>
    <n v="234"/>
    <n v="101"/>
    <n v="29.25"/>
    <n v="183.3"/>
    <n v="0"/>
    <n v="0"/>
    <n v="25"/>
    <n v="16"/>
    <n v="0"/>
    <n v="0"/>
    <s v="-"/>
    <s v="-"/>
    <s v="-"/>
    <s v="-"/>
    <n v="0"/>
    <n v="0"/>
    <n v="7"/>
    <n v="0"/>
    <s v="Delhi Capitals"/>
    <s v="Won"/>
    <s v="IPL25-M013"/>
    <s v="No"/>
    <n v="1"/>
  </r>
  <r>
    <s v="IPL25-P164"/>
    <x v="161"/>
    <x v="4"/>
    <x v="4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165"/>
    <x v="162"/>
    <x v="3"/>
    <x v="3"/>
    <s v="Indian"/>
    <x v="2"/>
    <s v="Right-handed"/>
    <s v="None"/>
    <n v="11"/>
    <n v="11"/>
    <n v="3"/>
    <n v="234"/>
    <n v="101"/>
    <n v="29.25"/>
    <n v="183.3"/>
    <n v="0"/>
    <n v="0"/>
    <n v="25"/>
    <n v="16"/>
    <n v="0"/>
    <n v="0"/>
    <s v="-"/>
    <s v="-"/>
    <s v="-"/>
    <s v="-"/>
    <n v="0"/>
    <n v="0"/>
    <n v="7"/>
    <n v="0"/>
    <s v="Delhi Capitals"/>
    <s v="Won"/>
    <s v="IPL25-M013"/>
    <s v="No"/>
    <n v="1"/>
  </r>
  <r>
    <s v="IPL25-P166"/>
    <x v="163"/>
    <x v="4"/>
    <x v="4"/>
    <s v="Indian"/>
    <x v="1"/>
    <s v="Left-handed"/>
    <s v="Right-arm Fast"/>
    <n v="11"/>
    <n v="10"/>
    <n v="3"/>
    <n v="128"/>
    <n v="113"/>
    <n v="18.29"/>
    <n v="159.63999999999999"/>
    <n v="0"/>
    <n v="0"/>
    <n v="11"/>
    <n v="7"/>
    <n v="0"/>
    <n v="13"/>
    <n v="25.11"/>
    <n v="9.69"/>
    <n v="15.6"/>
    <s v="3/34"/>
    <n v="0"/>
    <n v="41.5"/>
    <n v="5"/>
    <n v="0"/>
    <s v="Mumbai Indians"/>
    <s v="Lost"/>
    <s v="IPL25-M058"/>
    <s v="No"/>
    <n v="0.75"/>
  </r>
  <r>
    <s v="IPL25-P167"/>
    <x v="164"/>
    <x v="3"/>
    <x v="3"/>
    <s v="Indian"/>
    <x v="1"/>
    <s v="Left-handed"/>
    <s v="Right-arm Leg-spin"/>
    <n v="13"/>
    <n v="13"/>
    <n v="0"/>
    <n v="687"/>
    <n v="42"/>
    <n v="52.85"/>
    <n v="167.89"/>
    <n v="1"/>
    <n v="0"/>
    <n v="74"/>
    <n v="38"/>
    <n v="1"/>
    <n v="22"/>
    <n v="15.25"/>
    <n v="7.43"/>
    <n v="12.26"/>
    <s v="2/38"/>
    <n v="0"/>
    <n v="43.8"/>
    <n v="3"/>
    <n v="0"/>
    <s v="Kolkata Knight Riders"/>
    <s v="Lost"/>
    <s v="IPL25-M023"/>
    <s v="No"/>
    <n v="6"/>
  </r>
  <r>
    <s v="IPL25-P168"/>
    <x v="165"/>
    <x v="9"/>
    <x v="9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169"/>
    <x v="166"/>
    <x v="3"/>
    <x v="3"/>
    <s v="Sri Lankan"/>
    <x v="0"/>
    <s v="Right-handed"/>
    <s v="Left-arm Fast"/>
    <n v="9"/>
    <n v="8"/>
    <n v="1"/>
    <n v="163"/>
    <n v="19"/>
    <n v="23.29"/>
    <n v="115.23"/>
    <n v="0"/>
    <n v="0"/>
    <n v="13"/>
    <n v="8"/>
    <n v="1"/>
    <n v="15"/>
    <n v="22.51"/>
    <n v="6.77"/>
    <n v="14.21"/>
    <s v="2/13"/>
    <n v="0"/>
    <n v="28.2"/>
    <n v="9"/>
    <n v="0"/>
    <s v="Mumbai Indians"/>
    <s v="Won"/>
    <s v="IPL25-M067"/>
    <s v="No"/>
    <n v="15"/>
  </r>
  <r>
    <s v="IPL25-P170"/>
    <x v="167"/>
    <x v="6"/>
    <x v="6"/>
    <s v="Indian"/>
    <x v="2"/>
    <s v="Left-handed"/>
    <s v="None"/>
    <n v="12"/>
    <n v="11"/>
    <n v="1"/>
    <n v="461"/>
    <n v="77"/>
    <n v="46.1"/>
    <n v="115.23"/>
    <n v="0"/>
    <n v="0"/>
    <n v="40"/>
    <n v="35"/>
    <n v="0"/>
    <n v="0"/>
    <s v="-"/>
    <s v="-"/>
    <s v="-"/>
    <s v="-"/>
    <n v="0"/>
    <n v="0"/>
    <n v="2"/>
    <n v="0"/>
    <s v="Lucknow Super Giants"/>
    <s v="Lost"/>
    <s v="IPL25-M024"/>
    <s v="No"/>
    <n v="18"/>
  </r>
  <r>
    <s v="IPL25-P171"/>
    <x v="168"/>
    <x v="7"/>
    <x v="7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172"/>
    <x v="169"/>
    <x v="2"/>
    <x v="2"/>
    <s v="Pakistani"/>
    <x v="2"/>
    <s v="Right-handed"/>
    <s v="None"/>
    <n v="8"/>
    <n v="8"/>
    <n v="3"/>
    <n v="170"/>
    <n v="56"/>
    <n v="34"/>
    <n v="174.15"/>
    <n v="0"/>
    <n v="0"/>
    <n v="20"/>
    <n v="20"/>
    <n v="0"/>
    <n v="0"/>
    <s v="-"/>
    <s v="-"/>
    <s v="-"/>
    <s v="-"/>
    <n v="0"/>
    <n v="0"/>
    <n v="8"/>
    <n v="0"/>
    <s v="Chennai Super Kings"/>
    <s v="Won"/>
    <s v="IPL25-M001"/>
    <s v="No"/>
    <n v="6"/>
  </r>
  <r>
    <s v="IPL25-P173"/>
    <x v="170"/>
    <x v="0"/>
    <x v="0"/>
    <s v="Indian"/>
    <x v="2"/>
    <s v="Right-handed"/>
    <s v="None"/>
    <n v="14"/>
    <n v="14"/>
    <n v="1"/>
    <n v="541"/>
    <n v="78"/>
    <n v="41.62"/>
    <n v="180.7"/>
    <n v="0"/>
    <n v="0"/>
    <n v="58"/>
    <n v="23"/>
    <n v="0"/>
    <n v="0"/>
    <s v="-"/>
    <s v="-"/>
    <s v="-"/>
    <s v="-"/>
    <n v="0"/>
    <n v="0"/>
    <n v="3"/>
    <n v="0"/>
    <s v="Gujarat Titans"/>
    <s v="Lost"/>
    <s v="IPL25-M018"/>
    <s v="No"/>
    <n v="15"/>
  </r>
  <r>
    <s v="IPL25-P174"/>
    <x v="171"/>
    <x v="1"/>
    <x v="1"/>
    <s v="Pakistani"/>
    <x v="1"/>
    <s v="Left-handed"/>
    <s v="Right-arm Fast"/>
    <n v="9"/>
    <n v="7"/>
    <n v="1"/>
    <n v="124"/>
    <n v="76"/>
    <n v="20.67"/>
    <n v="122.36"/>
    <n v="0"/>
    <n v="0"/>
    <n v="12"/>
    <n v="7"/>
    <n v="0"/>
    <n v="10"/>
    <n v="17.79"/>
    <n v="8.09"/>
    <n v="15.26"/>
    <s v="5/36"/>
    <n v="0"/>
    <n v="26.9"/>
    <n v="2"/>
    <n v="0"/>
    <s v="Punjab Kings"/>
    <s v="Lost"/>
    <s v="IPL25-M070"/>
    <s v="No"/>
    <n v="6"/>
  </r>
  <r>
    <s v="IPL25-P175"/>
    <x v="172"/>
    <x v="0"/>
    <x v="0"/>
    <s v="Sri Lankan"/>
    <x v="0"/>
    <s v="Right-handed"/>
    <s v="Left-arm Fast"/>
    <n v="9"/>
    <n v="8"/>
    <n v="1"/>
    <n v="163"/>
    <n v="19"/>
    <n v="23.29"/>
    <n v="115.23"/>
    <n v="0"/>
    <n v="0"/>
    <n v="13"/>
    <n v="8"/>
    <n v="1"/>
    <n v="15"/>
    <n v="22.51"/>
    <n v="6.77"/>
    <n v="14.21"/>
    <s v="2/13"/>
    <n v="0"/>
    <n v="28.2"/>
    <n v="9"/>
    <n v="0"/>
    <s v="Mumbai Indians"/>
    <s v="Won"/>
    <s v="IPL25-M067"/>
    <s v="No"/>
    <n v="15"/>
  </r>
  <r>
    <s v="IPL25-P176"/>
    <x v="173"/>
    <x v="2"/>
    <x v="2"/>
    <s v="Indian"/>
    <x v="2"/>
    <s v="Right-handed"/>
    <s v="None"/>
    <n v="11"/>
    <n v="11"/>
    <n v="3"/>
    <n v="341"/>
    <n v="30"/>
    <n v="42.62"/>
    <n v="139.97999999999999"/>
    <n v="0"/>
    <n v="0"/>
    <n v="39"/>
    <n v="40"/>
    <n v="0"/>
    <n v="0"/>
    <s v="-"/>
    <s v="-"/>
    <s v="-"/>
    <s v="-"/>
    <n v="0"/>
    <n v="0"/>
    <n v="8"/>
    <n v="0"/>
    <s v="Punjab Kings"/>
    <s v="Won"/>
    <s v="IPL25-M003"/>
    <s v="No"/>
    <n v="0.2"/>
  </r>
  <r>
    <s v="IPL25-P177"/>
    <x v="174"/>
    <x v="0"/>
    <x v="0"/>
    <s v="Indian"/>
    <x v="0"/>
    <s v="Right-handed"/>
    <s v="Right-arm Fast"/>
    <n v="12"/>
    <n v="11"/>
    <n v="0"/>
    <n v="200"/>
    <n v="14"/>
    <n v="18.18"/>
    <n v="98.72"/>
    <n v="0"/>
    <n v="0"/>
    <n v="16"/>
    <n v="10"/>
    <n v="2"/>
    <n v="20"/>
    <n v="28.33"/>
    <n v="10.4"/>
    <n v="11.39"/>
    <s v="4/17"/>
    <n v="1"/>
    <n v="41.9"/>
    <n v="12"/>
    <n v="0"/>
    <s v="Lucknow Super Giants"/>
    <s v="Lost"/>
    <s v="IPL25-M066"/>
    <s v="Yes"/>
    <n v="10"/>
  </r>
  <r>
    <s v="IPL25-P178"/>
    <x v="175"/>
    <x v="6"/>
    <x v="6"/>
    <s v="Indian"/>
    <x v="1"/>
    <s v="Right-handed"/>
    <s v="Left-arm Spin"/>
    <n v="11"/>
    <n v="10"/>
    <n v="3"/>
    <n v="187"/>
    <n v="60"/>
    <n v="26.71"/>
    <n v="153.07"/>
    <n v="0"/>
    <n v="0"/>
    <n v="24"/>
    <n v="11"/>
    <n v="0"/>
    <n v="5"/>
    <n v="15.55"/>
    <n v="10.28"/>
    <n v="16.78"/>
    <s v="5/24"/>
    <n v="0"/>
    <n v="30.9"/>
    <n v="9"/>
    <n v="0"/>
    <s v="Royal Challengers Bengaluru"/>
    <s v="Lost"/>
    <s v="IPL25-M043"/>
    <s v="No"/>
    <n v="0.4"/>
  </r>
  <r>
    <s v="IPL25-P179"/>
    <x v="176"/>
    <x v="3"/>
    <x v="3"/>
    <s v="West Indian"/>
    <x v="2"/>
    <s v="Left-handed"/>
    <s v="None"/>
    <n v="8"/>
    <n v="7"/>
    <n v="2"/>
    <n v="238"/>
    <n v="50"/>
    <n v="47.6"/>
    <n v="143.96"/>
    <n v="0"/>
    <n v="0"/>
    <n v="30"/>
    <n v="9"/>
    <n v="0"/>
    <n v="0"/>
    <s v="-"/>
    <s v="-"/>
    <s v="-"/>
    <s v="-"/>
    <n v="0"/>
    <n v="0"/>
    <n v="2"/>
    <n v="0"/>
    <s v="Delhi Capitals"/>
    <s v="Lost"/>
    <s v="IPL25-M004"/>
    <s v="No"/>
    <n v="10"/>
  </r>
  <r>
    <s v="IPL25-P180"/>
    <x v="177"/>
    <x v="2"/>
    <x v="2"/>
    <s v="Indian"/>
    <x v="0"/>
    <s v="Right-handed"/>
    <s v="Right-arm Leg-spin"/>
    <n v="11"/>
    <n v="9"/>
    <n v="1"/>
    <n v="260"/>
    <n v="5"/>
    <n v="32.5"/>
    <n v="116.16"/>
    <n v="0"/>
    <n v="0"/>
    <n v="21"/>
    <n v="13"/>
    <n v="2"/>
    <n v="17"/>
    <n v="23.84"/>
    <n v="10.19"/>
    <n v="19.34"/>
    <s v="2/27"/>
    <n v="0"/>
    <n v="35"/>
    <n v="9"/>
    <n v="0"/>
    <s v="Gujarat Titans"/>
    <s v="Lost"/>
    <s v="IPL25-M008"/>
    <s v="No"/>
    <n v="0.2"/>
  </r>
  <r>
    <s v="IPL25-P181"/>
    <x v="178"/>
    <x v="7"/>
    <x v="7"/>
    <s v="Indian"/>
    <x v="1"/>
    <s v="Right-handed"/>
    <s v="Right-arm Medium"/>
    <n v="14"/>
    <n v="12"/>
    <n v="0"/>
    <n v="636"/>
    <n v="88"/>
    <n v="53"/>
    <n v="183.11"/>
    <n v="1"/>
    <n v="0"/>
    <n v="54"/>
    <n v="70"/>
    <n v="1"/>
    <n v="16"/>
    <n v="22.19"/>
    <n v="8.6999999999999993"/>
    <n v="17.190000000000001"/>
    <s v="4/10"/>
    <n v="0"/>
    <n v="46.5"/>
    <n v="10"/>
    <n v="0"/>
    <s v="Rajasthan Royals"/>
    <s v="Won"/>
    <s v="IPL25-M027"/>
    <s v="No"/>
    <n v="0.75"/>
  </r>
  <r>
    <s v="IPL25-P182"/>
    <x v="179"/>
    <x v="4"/>
    <x v="4"/>
    <s v="Pakistani"/>
    <x v="2"/>
    <s v="Right-handed"/>
    <s v="None"/>
    <n v="8"/>
    <n v="8"/>
    <n v="3"/>
    <n v="170"/>
    <n v="56"/>
    <n v="34"/>
    <n v="174.15"/>
    <n v="0"/>
    <n v="0"/>
    <n v="20"/>
    <n v="20"/>
    <n v="0"/>
    <n v="0"/>
    <s v="-"/>
    <s v="-"/>
    <s v="-"/>
    <s v="-"/>
    <n v="0"/>
    <n v="0"/>
    <n v="8"/>
    <n v="0"/>
    <s v="Chennai Super Kings"/>
    <s v="Won"/>
    <s v="IPL25-M001"/>
    <s v="No"/>
    <n v="6"/>
  </r>
  <r>
    <s v="IPL25-P183"/>
    <x v="180"/>
    <x v="6"/>
    <x v="6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184"/>
    <x v="181"/>
    <x v="1"/>
    <x v="1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185"/>
    <x v="182"/>
    <x v="0"/>
    <x v="0"/>
    <s v="Afghan"/>
    <x v="0"/>
    <s v="Right-handed"/>
    <s v="Right-arm Off-spin"/>
    <n v="10"/>
    <n v="9"/>
    <n v="2"/>
    <n v="128"/>
    <n v="15"/>
    <n v="18.29"/>
    <n v="99.77"/>
    <n v="0"/>
    <n v="0"/>
    <n v="10"/>
    <n v="6"/>
    <n v="2"/>
    <n v="12"/>
    <n v="31.21"/>
    <n v="7.38"/>
    <n v="19.28"/>
    <s v="3/42"/>
    <n v="0"/>
    <n v="37.1"/>
    <n v="8"/>
    <n v="0"/>
    <s v="Chennai Super Kings"/>
    <s v="Won"/>
    <s v="IPL25-M070"/>
    <s v="Yes"/>
    <n v="5"/>
  </r>
  <r>
    <s v="IPL25-P186"/>
    <x v="183"/>
    <x v="4"/>
    <x v="4"/>
    <s v="Indian"/>
    <x v="1"/>
    <s v="Left-handed"/>
    <s v="Right-arm Leg-spin"/>
    <n v="13"/>
    <n v="13"/>
    <n v="0"/>
    <n v="687"/>
    <n v="42"/>
    <n v="52.85"/>
    <n v="167.89"/>
    <n v="1"/>
    <n v="0"/>
    <n v="74"/>
    <n v="38"/>
    <n v="1"/>
    <n v="22"/>
    <n v="15.25"/>
    <n v="7.43"/>
    <n v="12.26"/>
    <s v="2/38"/>
    <n v="0"/>
    <n v="43.8"/>
    <n v="3"/>
    <n v="0"/>
    <s v="Kolkata Knight Riders"/>
    <s v="Lost"/>
    <s v="IPL25-M023"/>
    <s v="No"/>
    <n v="6"/>
  </r>
  <r>
    <s v="IPL25-P187"/>
    <x v="184"/>
    <x v="5"/>
    <x v="5"/>
    <s v="Bangladeshi"/>
    <x v="1"/>
    <s v="Left-handed"/>
    <s v="Right-arm Leg-spin"/>
    <n v="10"/>
    <n v="10"/>
    <n v="3"/>
    <n v="207"/>
    <n v="46"/>
    <n v="29.57"/>
    <n v="155.16999999999999"/>
    <n v="0"/>
    <n v="0"/>
    <n v="22"/>
    <n v="11"/>
    <n v="0"/>
    <n v="2"/>
    <n v="17.36"/>
    <n v="9.74"/>
    <n v="18.89"/>
    <s v="2/37"/>
    <n v="0"/>
    <n v="25.7"/>
    <n v="6"/>
    <n v="0"/>
    <s v="Sunrisers Hyderabad"/>
    <s v="Won"/>
    <s v="IPL25-M026"/>
    <s v="No"/>
    <n v="0.4"/>
  </r>
  <r>
    <s v="IPL25-P188"/>
    <x v="185"/>
    <x v="8"/>
    <x v="8"/>
    <s v="Afghan"/>
    <x v="1"/>
    <s v="Right-handed"/>
    <s v="Right-arm Off-spin"/>
    <n v="10"/>
    <n v="10"/>
    <n v="3"/>
    <n v="325"/>
    <n v="40"/>
    <n v="46.43"/>
    <n v="111.14"/>
    <n v="0"/>
    <n v="0"/>
    <n v="44"/>
    <n v="22"/>
    <n v="0"/>
    <n v="16"/>
    <n v="24.26"/>
    <n v="9.39"/>
    <n v="10.86"/>
    <s v="2/10"/>
    <n v="0"/>
    <n v="37.9"/>
    <n v="7"/>
    <n v="0"/>
    <s v="Gujarat Titans"/>
    <s v="Lost"/>
    <s v="IPL25-M005"/>
    <s v="No"/>
    <n v="4"/>
  </r>
  <r>
    <s v="IPL25-P189"/>
    <x v="186"/>
    <x v="6"/>
    <x v="6"/>
    <s v="Indian"/>
    <x v="0"/>
    <s v="Right-handed"/>
    <s v="Left-arm Spin"/>
    <n v="8"/>
    <n v="7"/>
    <n v="3"/>
    <n v="80"/>
    <n v="18"/>
    <n v="20"/>
    <n v="104.74"/>
    <n v="0"/>
    <n v="0"/>
    <n v="6"/>
    <n v="4"/>
    <n v="2"/>
    <n v="7"/>
    <n v="31.15"/>
    <n v="10.06"/>
    <n v="15.87"/>
    <s v="5/15"/>
    <n v="0"/>
    <n v="29.7"/>
    <n v="3"/>
    <n v="0"/>
    <s v="Rajasthan Royals"/>
    <s v="Won"/>
    <s v="IPL25-M054"/>
    <s v="No"/>
    <n v="1"/>
  </r>
  <r>
    <s v="IPL25-P190"/>
    <x v="187"/>
    <x v="4"/>
    <x v="4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191"/>
    <x v="188"/>
    <x v="5"/>
    <x v="5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192"/>
    <x v="189"/>
    <x v="4"/>
    <x v="4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193"/>
    <x v="190"/>
    <x v="1"/>
    <x v="1"/>
    <s v="Sri Lankan"/>
    <x v="0"/>
    <s v="Left-handed"/>
    <s v="Right-arm Off-spin"/>
    <n v="12"/>
    <n v="10"/>
    <n v="1"/>
    <n v="95"/>
    <n v="17"/>
    <n v="10.56"/>
    <n v="93.33"/>
    <n v="0"/>
    <n v="0"/>
    <n v="7"/>
    <n v="4"/>
    <n v="2"/>
    <n v="6"/>
    <n v="32.340000000000003"/>
    <n v="9.19"/>
    <n v="18.239999999999998"/>
    <s v="3/24"/>
    <n v="0"/>
    <n v="41.7"/>
    <n v="9"/>
    <n v="0"/>
    <s v="Gujarat Titans"/>
    <s v="Won"/>
    <s v="IPL25-M031"/>
    <s v="No"/>
    <n v="18"/>
  </r>
  <r>
    <s v="IPL25-P194"/>
    <x v="191"/>
    <x v="5"/>
    <x v="5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195"/>
    <x v="192"/>
    <x v="7"/>
    <x v="7"/>
    <s v="Indian"/>
    <x v="2"/>
    <s v="Right-handed"/>
    <s v="None"/>
    <n v="8"/>
    <n v="7"/>
    <n v="0"/>
    <n v="381"/>
    <n v="108"/>
    <n v="54.43"/>
    <n v="111.89"/>
    <n v="0"/>
    <n v="0"/>
    <n v="38"/>
    <n v="40"/>
    <n v="0"/>
    <n v="0"/>
    <s v="-"/>
    <s v="-"/>
    <s v="-"/>
    <s v="-"/>
    <n v="0"/>
    <n v="0"/>
    <n v="2"/>
    <n v="0"/>
    <s v="Kolkata Knight Riders"/>
    <s v="Lost"/>
    <s v="IPL25-M025"/>
    <s v="No"/>
    <n v="3"/>
  </r>
  <r>
    <s v="IPL25-P196"/>
    <x v="193"/>
    <x v="8"/>
    <x v="8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197"/>
    <x v="194"/>
    <x v="1"/>
    <x v="1"/>
    <s v="Indian"/>
    <x v="2"/>
    <s v="Left-handed"/>
    <s v="None"/>
    <n v="12"/>
    <n v="10"/>
    <n v="1"/>
    <n v="329"/>
    <n v="56"/>
    <n v="36.56"/>
    <n v="170.2"/>
    <n v="0"/>
    <n v="0"/>
    <n v="27"/>
    <n v="20"/>
    <n v="0"/>
    <n v="0"/>
    <s v="-"/>
    <s v="-"/>
    <s v="-"/>
    <s v="-"/>
    <n v="0"/>
    <n v="0"/>
    <n v="6"/>
    <n v="0"/>
    <s v="Chennai Super Kings"/>
    <s v="Lost"/>
    <s v="IPL25-M074"/>
    <s v="No"/>
    <n v="4"/>
  </r>
  <r>
    <s v="IPL25-P198"/>
    <x v="195"/>
    <x v="9"/>
    <x v="9"/>
    <s v="South African"/>
    <x v="2"/>
    <s v="Right-handed"/>
    <s v="None"/>
    <n v="13"/>
    <n v="12"/>
    <n v="3"/>
    <n v="299"/>
    <n v="45"/>
    <n v="33.22"/>
    <n v="183.16"/>
    <n v="0"/>
    <n v="0"/>
    <n v="32"/>
    <n v="27"/>
    <n v="1"/>
    <n v="0"/>
    <s v="-"/>
    <s v="-"/>
    <s v="-"/>
    <s v="-"/>
    <n v="0"/>
    <n v="0"/>
    <n v="7"/>
    <n v="0"/>
    <s v="Kolkata Knight Riders"/>
    <s v="Lost"/>
    <s v="IPL25-M026"/>
    <s v="No"/>
    <n v="0.5"/>
  </r>
  <r>
    <s v="IPL25-P199"/>
    <x v="196"/>
    <x v="2"/>
    <x v="2"/>
    <s v="Indian"/>
    <x v="1"/>
    <s v="Left-handed"/>
    <s v="Right-arm Fast"/>
    <n v="10"/>
    <n v="9"/>
    <n v="0"/>
    <n v="355"/>
    <n v="40"/>
    <n v="39.44"/>
    <n v="126.55"/>
    <n v="0"/>
    <n v="0"/>
    <n v="38"/>
    <n v="39"/>
    <n v="0"/>
    <n v="14"/>
    <n v="16.98"/>
    <n v="7.04"/>
    <n v="10.07"/>
    <s v="5/28"/>
    <n v="0"/>
    <n v="30.6"/>
    <n v="2"/>
    <n v="0"/>
    <s v="Punjab Kings"/>
    <s v="Won"/>
    <s v="IPL25-M003"/>
    <s v="No"/>
    <n v="0.75"/>
  </r>
  <r>
    <s v="IPL25-P200"/>
    <x v="197"/>
    <x v="7"/>
    <x v="7"/>
    <s v="Indian"/>
    <x v="2"/>
    <s v="Left-handed"/>
    <s v="None"/>
    <n v="8"/>
    <n v="8"/>
    <n v="1"/>
    <n v="320"/>
    <n v="41"/>
    <n v="45.71"/>
    <n v="136.47999999999999"/>
    <n v="0"/>
    <n v="0"/>
    <n v="37"/>
    <n v="23"/>
    <n v="0"/>
    <n v="0"/>
    <s v="-"/>
    <s v="-"/>
    <s v="-"/>
    <s v="-"/>
    <n v="0"/>
    <n v="0"/>
    <n v="5"/>
    <n v="0"/>
    <s v="Mumbai Indians"/>
    <s v="Won"/>
    <s v="IPL25-M020"/>
    <s v="No"/>
    <n v="1"/>
  </r>
  <r>
    <s v="IPL25-P201"/>
    <x v="198"/>
    <x v="0"/>
    <x v="0"/>
    <s v="Indian"/>
    <x v="1"/>
    <s v="Right-handed"/>
    <s v="Left-arm Medium"/>
    <n v="8"/>
    <n v="6"/>
    <n v="3"/>
    <n v="122"/>
    <n v="102"/>
    <n v="40.67"/>
    <n v="167.6"/>
    <n v="0"/>
    <n v="0"/>
    <n v="14"/>
    <n v="13"/>
    <n v="0"/>
    <n v="3"/>
    <n v="17.670000000000002"/>
    <n v="6.57"/>
    <n v="13.32"/>
    <s v="2/41"/>
    <n v="0"/>
    <n v="29.9"/>
    <n v="8"/>
    <n v="0"/>
    <s v="Sunrisers Hyderabad"/>
    <s v="Won"/>
    <s v="IPL25-M026"/>
    <s v="Yes"/>
    <n v="18"/>
  </r>
  <r>
    <s v="IPL25-P202"/>
    <x v="199"/>
    <x v="8"/>
    <x v="8"/>
    <s v="Indian"/>
    <x v="2"/>
    <s v="Right-handed"/>
    <s v="None"/>
    <n v="14"/>
    <n v="13"/>
    <n v="3"/>
    <n v="307"/>
    <n v="39"/>
    <n v="30.7"/>
    <n v="127.2"/>
    <n v="0"/>
    <n v="0"/>
    <n v="31"/>
    <n v="26"/>
    <n v="0"/>
    <n v="0"/>
    <s v="-"/>
    <s v="-"/>
    <s v="-"/>
    <s v="-"/>
    <n v="0"/>
    <n v="0"/>
    <n v="7"/>
    <n v="0"/>
    <s v="Rajasthan Royals"/>
    <s v="Lost"/>
    <s v="IPL25-M044"/>
    <s v="No"/>
    <n v="0.75"/>
  </r>
  <r>
    <s v="IPL25-P203"/>
    <x v="200"/>
    <x v="7"/>
    <x v="7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204"/>
    <x v="201"/>
    <x v="2"/>
    <x v="2"/>
    <s v="English"/>
    <x v="0"/>
    <s v="Left-handed"/>
    <s v="Right-arm Fast"/>
    <n v="10"/>
    <n v="9"/>
    <n v="3"/>
    <n v="233"/>
    <n v="19"/>
    <n v="38.83"/>
    <n v="98.06"/>
    <n v="0"/>
    <n v="0"/>
    <n v="19"/>
    <n v="11"/>
    <n v="2"/>
    <n v="16"/>
    <n v="29.46"/>
    <n v="9.92"/>
    <n v="15.9"/>
    <s v="4/20"/>
    <n v="0"/>
    <n v="34"/>
    <n v="4"/>
    <n v="0"/>
    <s v="Delhi Capitals"/>
    <s v="Won"/>
    <s v="IPL25-M007"/>
    <s v="No"/>
    <n v="18"/>
  </r>
  <r>
    <s v="IPL25-P205"/>
    <x v="202"/>
    <x v="9"/>
    <x v="9"/>
    <s v="Indian"/>
    <x v="1"/>
    <s v="Left-handed"/>
    <s v="Right-arm Fast"/>
    <n v="10"/>
    <n v="9"/>
    <n v="0"/>
    <n v="355"/>
    <n v="40"/>
    <n v="39.44"/>
    <n v="126.55"/>
    <n v="0"/>
    <n v="0"/>
    <n v="38"/>
    <n v="39"/>
    <n v="0"/>
    <n v="14"/>
    <n v="16.98"/>
    <n v="7.04"/>
    <n v="10.07"/>
    <s v="5/28"/>
    <n v="0"/>
    <n v="30.6"/>
    <n v="2"/>
    <n v="0"/>
    <s v="Punjab Kings"/>
    <s v="Won"/>
    <s v="IPL25-M003"/>
    <s v="No"/>
    <n v="0.75"/>
  </r>
  <r>
    <s v="IPL25-P206"/>
    <x v="203"/>
    <x v="1"/>
    <x v="1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207"/>
    <x v="204"/>
    <x v="8"/>
    <x v="8"/>
    <s v="New Zealand"/>
    <x v="1"/>
    <s v="Left-handed"/>
    <s v="Right-arm Medium"/>
    <n v="13"/>
    <n v="13"/>
    <n v="1"/>
    <n v="551"/>
    <n v="44"/>
    <n v="45.92"/>
    <n v="170.77"/>
    <n v="1"/>
    <n v="0"/>
    <n v="49"/>
    <n v="39"/>
    <n v="1"/>
    <n v="18"/>
    <n v="20.23"/>
    <n v="7.37"/>
    <n v="10.32"/>
    <s v="2/11"/>
    <n v="0"/>
    <n v="35.1"/>
    <n v="8"/>
    <n v="0"/>
    <s v="Gujarat Titans"/>
    <s v="Won"/>
    <s v="IPL25-M041"/>
    <s v="No"/>
    <n v="3"/>
  </r>
  <r>
    <s v="IPL25-P208"/>
    <x v="205"/>
    <x v="0"/>
    <x v="0"/>
    <s v="Indian"/>
    <x v="2"/>
    <s v="Left-handed"/>
    <s v="None"/>
    <n v="10"/>
    <n v="10"/>
    <n v="2"/>
    <n v="234"/>
    <n v="95"/>
    <n v="29.25"/>
    <n v="119.12"/>
    <n v="0"/>
    <n v="0"/>
    <n v="23"/>
    <n v="26"/>
    <n v="0"/>
    <n v="0"/>
    <s v="-"/>
    <s v="-"/>
    <s v="-"/>
    <s v="-"/>
    <n v="0"/>
    <n v="0"/>
    <n v="10"/>
    <n v="0"/>
    <s v="Lucknow Super Giants"/>
    <s v="Won"/>
    <s v="IPL25-M046"/>
    <s v="Yes"/>
    <n v="0.4"/>
  </r>
  <r>
    <s v="IPL25-P209"/>
    <x v="206"/>
    <x v="6"/>
    <x v="6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210"/>
    <x v="207"/>
    <x v="4"/>
    <x v="4"/>
    <s v="Sri Lankan"/>
    <x v="0"/>
    <s v="Left-handed"/>
    <s v="Right-arm Leg-spin"/>
    <n v="8"/>
    <n v="6"/>
    <n v="0"/>
    <n v="21"/>
    <n v="14"/>
    <n v="3.5"/>
    <n v="85.67"/>
    <n v="0"/>
    <n v="0"/>
    <n v="1"/>
    <n v="1"/>
    <n v="1"/>
    <n v="13"/>
    <n v="29.13"/>
    <n v="9.7799999999999994"/>
    <n v="10.95"/>
    <s v="3/30"/>
    <n v="0"/>
    <n v="24"/>
    <n v="7"/>
    <n v="0"/>
    <s v="Royal Challengers Bengaluru"/>
    <s v="Lost"/>
    <s v="IPL25-M043"/>
    <s v="No"/>
    <n v="1.5"/>
  </r>
  <r>
    <s v="IPL25-P211"/>
    <x v="208"/>
    <x v="4"/>
    <x v="4"/>
    <s v="Indian"/>
    <x v="1"/>
    <s v="Right-handed"/>
    <s v="Right-arm Medium"/>
    <n v="8"/>
    <n v="8"/>
    <n v="2"/>
    <n v="269"/>
    <n v="111"/>
    <n v="44.83"/>
    <n v="122.04"/>
    <n v="0"/>
    <n v="0"/>
    <n v="31"/>
    <n v="24"/>
    <n v="0"/>
    <n v="8"/>
    <n v="25.44"/>
    <n v="8.33"/>
    <n v="14.45"/>
    <s v="3/41"/>
    <n v="0"/>
    <n v="25.6"/>
    <n v="8"/>
    <n v="0"/>
    <s v="Lucknow Super Giants"/>
    <s v="Lost"/>
    <s v="IPL25-M009"/>
    <s v="No"/>
    <n v="18"/>
  </r>
  <r>
    <s v="IPL25-P212"/>
    <x v="209"/>
    <x v="0"/>
    <x v="0"/>
    <s v="Indian"/>
    <x v="2"/>
    <s v="Left-handed"/>
    <s v="None"/>
    <n v="11"/>
    <n v="10"/>
    <n v="1"/>
    <n v="382"/>
    <n v="33"/>
    <n v="42.44"/>
    <n v="176.49"/>
    <n v="0"/>
    <n v="0"/>
    <n v="47"/>
    <n v="24"/>
    <n v="0"/>
    <n v="0"/>
    <s v="-"/>
    <s v="-"/>
    <s v="-"/>
    <s v="-"/>
    <n v="0"/>
    <n v="0"/>
    <n v="7"/>
    <n v="0"/>
    <s v="Rajasthan Royals"/>
    <s v="Lost"/>
    <s v="IPL25-M039"/>
    <s v="Yes"/>
    <n v="0.5"/>
  </r>
  <r>
    <s v="IPL25-P213"/>
    <x v="210"/>
    <x v="7"/>
    <x v="7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214"/>
    <x v="211"/>
    <x v="4"/>
    <x v="4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215"/>
    <x v="212"/>
    <x v="3"/>
    <x v="3"/>
    <s v="Pakistani"/>
    <x v="2"/>
    <s v="Left-handed"/>
    <s v="None"/>
    <n v="10"/>
    <n v="8"/>
    <n v="3"/>
    <n v="261"/>
    <n v="65"/>
    <n v="52.2"/>
    <n v="128.86000000000001"/>
    <n v="0"/>
    <n v="0"/>
    <n v="35"/>
    <n v="13"/>
    <n v="0"/>
    <n v="0"/>
    <s v="-"/>
    <s v="-"/>
    <s v="-"/>
    <s v="-"/>
    <n v="0"/>
    <n v="0"/>
    <n v="3"/>
    <n v="0"/>
    <s v="Gujarat Titans"/>
    <s v="Won"/>
    <s v="IPL25-M022"/>
    <s v="No"/>
    <n v="0.4"/>
  </r>
  <r>
    <s v="IPL25-P216"/>
    <x v="213"/>
    <x v="6"/>
    <x v="6"/>
    <s v="Australian"/>
    <x v="0"/>
    <s v="Right-handed"/>
    <s v="Right-arm Fast"/>
    <n v="8"/>
    <n v="6"/>
    <n v="0"/>
    <n v="28"/>
    <n v="12"/>
    <n v="4.67"/>
    <n v="88.53"/>
    <n v="0"/>
    <n v="0"/>
    <n v="2"/>
    <n v="1"/>
    <n v="2"/>
    <n v="12"/>
    <n v="29.58"/>
    <n v="6.55"/>
    <n v="11.2"/>
    <s v="5/33"/>
    <n v="0"/>
    <n v="27.5"/>
    <n v="3"/>
    <n v="0"/>
    <s v="Rajasthan Royals"/>
    <s v="Won"/>
    <s v="IPL25-M027"/>
    <s v="No"/>
    <n v="0.4"/>
  </r>
  <r>
    <s v="IPL25-P217"/>
    <x v="214"/>
    <x v="7"/>
    <x v="7"/>
    <s v="Indian"/>
    <x v="2"/>
    <s v="Right-handed"/>
    <s v="None"/>
    <n v="14"/>
    <n v="13"/>
    <n v="1"/>
    <n v="639"/>
    <n v="71"/>
    <n v="53.25"/>
    <n v="140.6"/>
    <n v="0"/>
    <n v="0"/>
    <n v="65"/>
    <n v="30"/>
    <n v="0"/>
    <n v="0"/>
    <s v="-"/>
    <s v="-"/>
    <s v="-"/>
    <s v="-"/>
    <n v="0"/>
    <n v="0"/>
    <n v="14"/>
    <n v="0"/>
    <s v="Kolkata Knight Riders"/>
    <s v="Lost"/>
    <s v="IPL25-M026"/>
    <s v="No"/>
    <n v="18"/>
  </r>
  <r>
    <s v="IPL25-P218"/>
    <x v="215"/>
    <x v="1"/>
    <x v="1"/>
    <s v="Indian"/>
    <x v="0"/>
    <s v="Right-handed"/>
    <s v="Left-arm Spin"/>
    <n v="11"/>
    <n v="10"/>
    <n v="0"/>
    <n v="244"/>
    <n v="39"/>
    <n v="24.4"/>
    <n v="90.58"/>
    <n v="0"/>
    <n v="0"/>
    <n v="20"/>
    <n v="12"/>
    <n v="2"/>
    <n v="16"/>
    <n v="14.87"/>
    <n v="6.8"/>
    <n v="13.2"/>
    <s v="5/32"/>
    <n v="0"/>
    <n v="40.9"/>
    <n v="7"/>
    <n v="0"/>
    <s v="Chennai Super Kings"/>
    <s v="Lost"/>
    <s v="IPL25-M048"/>
    <s v="No"/>
    <n v="0.75"/>
  </r>
  <r>
    <s v="IPL25-P219"/>
    <x v="216"/>
    <x v="4"/>
    <x v="4"/>
    <s v="New Zealand"/>
    <x v="1"/>
    <s v="Left-handed"/>
    <s v="Left-arm Medium"/>
    <n v="10"/>
    <n v="10"/>
    <n v="1"/>
    <n v="472"/>
    <n v="49"/>
    <n v="52.44"/>
    <n v="178.7"/>
    <n v="0"/>
    <n v="0"/>
    <n v="56"/>
    <n v="53"/>
    <n v="0"/>
    <n v="15"/>
    <n v="18.670000000000002"/>
    <n v="7.76"/>
    <n v="16.13"/>
    <s v="4/10"/>
    <n v="0"/>
    <n v="33.1"/>
    <n v="9"/>
    <n v="0"/>
    <s v="Royal Challengers Bengaluru"/>
    <s v="Won"/>
    <s v="IPL25-M036"/>
    <s v="No"/>
    <n v="4"/>
  </r>
  <r>
    <s v="IPL25-P220"/>
    <x v="217"/>
    <x v="8"/>
    <x v="8"/>
    <s v="Afghan"/>
    <x v="0"/>
    <s v="Right-handed"/>
    <s v="Left-arm Spin"/>
    <n v="14"/>
    <n v="13"/>
    <n v="1"/>
    <n v="133"/>
    <n v="10"/>
    <n v="11.08"/>
    <n v="122.19"/>
    <n v="0"/>
    <n v="0"/>
    <n v="11"/>
    <n v="6"/>
    <n v="1"/>
    <n v="15"/>
    <n v="18.690000000000001"/>
    <n v="9.6199999999999992"/>
    <n v="14.4"/>
    <s v="4/39"/>
    <n v="0"/>
    <n v="36.200000000000003"/>
    <n v="6"/>
    <n v="0"/>
    <s v="Chennai Super Kings"/>
    <s v="Lost"/>
    <s v="IPL25-M015"/>
    <s v="No"/>
    <n v="18"/>
  </r>
  <r>
    <s v="IPL25-P221"/>
    <x v="218"/>
    <x v="5"/>
    <x v="5"/>
    <s v="Indian"/>
    <x v="1"/>
    <s v="Right-handed"/>
    <s v="Right-arm Medium"/>
    <n v="8"/>
    <n v="8"/>
    <n v="2"/>
    <n v="269"/>
    <n v="111"/>
    <n v="44.83"/>
    <n v="122.04"/>
    <n v="0"/>
    <n v="0"/>
    <n v="31"/>
    <n v="24"/>
    <n v="0"/>
    <n v="8"/>
    <n v="25.44"/>
    <n v="8.33"/>
    <n v="14.45"/>
    <s v="3/41"/>
    <n v="0"/>
    <n v="25.6"/>
    <n v="8"/>
    <n v="0"/>
    <s v="Lucknow Super Giants"/>
    <s v="Lost"/>
    <s v="IPL25-M009"/>
    <s v="No"/>
    <n v="18"/>
  </r>
  <r>
    <s v="IPL25-P222"/>
    <x v="219"/>
    <x v="8"/>
    <x v="8"/>
    <s v="South African"/>
    <x v="1"/>
    <s v="Right-handed"/>
    <s v="Right-arm Medium"/>
    <n v="14"/>
    <n v="12"/>
    <n v="0"/>
    <n v="370"/>
    <n v="116"/>
    <n v="30.83"/>
    <n v="176.54"/>
    <n v="0"/>
    <n v="0"/>
    <n v="36"/>
    <n v="18"/>
    <n v="1"/>
    <n v="8"/>
    <n v="21.7"/>
    <n v="7.75"/>
    <n v="14.72"/>
    <s v="2/10"/>
    <n v="0"/>
    <n v="43.8"/>
    <n v="2"/>
    <n v="0"/>
    <s v="Gujarat Titans"/>
    <s v="Lost"/>
    <s v="IPL25-M018"/>
    <s v="No"/>
    <n v="4"/>
  </r>
  <r>
    <s v="IPL25-P223"/>
    <x v="220"/>
    <x v="9"/>
    <x v="9"/>
    <s v="Indian"/>
    <x v="0"/>
    <s v="Left-handed"/>
    <s v="Left-arm Medium"/>
    <n v="12"/>
    <n v="11"/>
    <n v="0"/>
    <n v="98"/>
    <n v="18"/>
    <n v="8.91"/>
    <n v="129.94999999999999"/>
    <n v="0"/>
    <n v="0"/>
    <n v="8"/>
    <n v="4"/>
    <n v="2"/>
    <n v="21"/>
    <n v="19.3"/>
    <n v="8.65"/>
    <n v="15.99"/>
    <s v="4/14"/>
    <n v="0"/>
    <n v="40.9"/>
    <n v="5"/>
    <n v="0"/>
    <s v="Kolkata Knight Riders"/>
    <s v="Lost"/>
    <s v="IPL25-M026"/>
    <s v="No"/>
    <n v="2"/>
  </r>
  <r>
    <s v="IPL25-P224"/>
    <x v="221"/>
    <x v="6"/>
    <x v="6"/>
    <s v="Sri Lankan"/>
    <x v="0"/>
    <s v="Left-handed"/>
    <s v="Right-arm Off-spin"/>
    <n v="12"/>
    <n v="10"/>
    <n v="1"/>
    <n v="95"/>
    <n v="17"/>
    <n v="10.56"/>
    <n v="93.33"/>
    <n v="0"/>
    <n v="0"/>
    <n v="7"/>
    <n v="4"/>
    <n v="2"/>
    <n v="6"/>
    <n v="32.340000000000003"/>
    <n v="9.19"/>
    <n v="18.239999999999998"/>
    <s v="3/24"/>
    <n v="0"/>
    <n v="41.7"/>
    <n v="9"/>
    <n v="0"/>
    <s v="Gujarat Titans"/>
    <s v="Won"/>
    <s v="IPL25-M031"/>
    <s v="No"/>
    <n v="18"/>
  </r>
  <r>
    <s v="IPL25-P225"/>
    <x v="222"/>
    <x v="1"/>
    <x v="1"/>
    <s v="Pakistani"/>
    <x v="2"/>
    <s v="Right-handed"/>
    <s v="None"/>
    <n v="8"/>
    <n v="8"/>
    <n v="3"/>
    <n v="170"/>
    <n v="56"/>
    <n v="34"/>
    <n v="174.15"/>
    <n v="0"/>
    <n v="0"/>
    <n v="20"/>
    <n v="20"/>
    <n v="0"/>
    <n v="0"/>
    <s v="-"/>
    <s v="-"/>
    <s v="-"/>
    <s v="-"/>
    <n v="0"/>
    <n v="0"/>
    <n v="8"/>
    <n v="0"/>
    <s v="Chennai Super Kings"/>
    <s v="Won"/>
    <s v="IPL25-M001"/>
    <s v="No"/>
    <n v="6"/>
  </r>
  <r>
    <s v="IPL25-P226"/>
    <x v="223"/>
    <x v="8"/>
    <x v="8"/>
    <s v="English"/>
    <x v="3"/>
    <s v="Left-handed"/>
    <s v="None"/>
    <n v="8"/>
    <n v="8"/>
    <n v="0"/>
    <n v="216"/>
    <n v="36"/>
    <n v="27"/>
    <n v="169.85"/>
    <n v="0"/>
    <n v="0"/>
    <n v="21"/>
    <n v="23"/>
    <n v="0"/>
    <n v="0"/>
    <s v="-"/>
    <s v="-"/>
    <s v="-"/>
    <s v="-"/>
    <n v="0"/>
    <n v="0"/>
    <n v="6"/>
    <n v="2"/>
    <s v="Mumbai Indians"/>
    <s v="Won"/>
    <s v="IPL25-M032"/>
    <s v="No"/>
    <n v="3"/>
  </r>
  <r>
    <s v="IPL25-P227"/>
    <x v="224"/>
    <x v="9"/>
    <x v="9"/>
    <s v="Indian"/>
    <x v="2"/>
    <s v="Left-handed"/>
    <s v="None"/>
    <n v="11"/>
    <n v="10"/>
    <n v="1"/>
    <n v="162"/>
    <n v="86"/>
    <n v="18"/>
    <n v="163.77000000000001"/>
    <n v="0"/>
    <n v="0"/>
    <n v="22"/>
    <n v="6"/>
    <n v="0"/>
    <n v="0"/>
    <s v="-"/>
    <s v="-"/>
    <s v="-"/>
    <s v="-"/>
    <n v="0"/>
    <n v="0"/>
    <n v="2"/>
    <n v="0"/>
    <s v="Mumbai Indians"/>
    <s v="Won"/>
    <s v="IPL25-M064"/>
    <s v="No"/>
    <n v="5"/>
  </r>
  <r>
    <s v="IPL25-P228"/>
    <x v="225"/>
    <x v="6"/>
    <x v="6"/>
    <s v="Indian"/>
    <x v="1"/>
    <s v="Left-handed"/>
    <s v="Right-arm Medium"/>
    <n v="9"/>
    <n v="9"/>
    <n v="2"/>
    <n v="308"/>
    <n v="97"/>
    <n v="44"/>
    <n v="180.53"/>
    <n v="0"/>
    <n v="0"/>
    <n v="38"/>
    <n v="15"/>
    <n v="0"/>
    <n v="7"/>
    <n v="14.92"/>
    <n v="9.11"/>
    <n v="12"/>
    <s v="3/17"/>
    <n v="0"/>
    <n v="25.4"/>
    <n v="3"/>
    <n v="0"/>
    <s v="Kolkata Knight Riders"/>
    <s v="Lost"/>
    <s v="IPL25-M068"/>
    <s v="Yes"/>
    <n v="7.5"/>
  </r>
  <r>
    <s v="IPL25-P229"/>
    <x v="226"/>
    <x v="3"/>
    <x v="3"/>
    <s v="Bangladeshi"/>
    <x v="0"/>
    <s v="Right-handed"/>
    <s v="Left-arm Medium"/>
    <n v="10"/>
    <n v="8"/>
    <n v="3"/>
    <n v="220"/>
    <n v="27"/>
    <n v="44"/>
    <n v="122.89"/>
    <n v="0"/>
    <n v="0"/>
    <n v="18"/>
    <n v="11"/>
    <n v="2"/>
    <n v="11"/>
    <n v="24.8"/>
    <n v="10.119999999999999"/>
    <n v="11.64"/>
    <s v="5/21"/>
    <n v="0"/>
    <n v="37.9"/>
    <n v="5"/>
    <n v="0"/>
    <s v="Royal Challengers Bengaluru"/>
    <s v="Won"/>
    <s v="IPL25-M060"/>
    <s v="No"/>
    <n v="0.2"/>
  </r>
  <r>
    <s v="IPL25-P230"/>
    <x v="227"/>
    <x v="7"/>
    <x v="7"/>
    <s v="South African"/>
    <x v="0"/>
    <s v="Right-handed"/>
    <s v="Right-arm Off-spin"/>
    <n v="9"/>
    <n v="7"/>
    <n v="0"/>
    <n v="210"/>
    <n v="26"/>
    <n v="30"/>
    <n v="107.06"/>
    <n v="0"/>
    <n v="0"/>
    <n v="17"/>
    <n v="10"/>
    <n v="2"/>
    <n v="20"/>
    <n v="22.15"/>
    <n v="7.7"/>
    <n v="14.58"/>
    <s v="5/23"/>
    <n v="1"/>
    <n v="29.5"/>
    <n v="6"/>
    <n v="0"/>
    <s v="Punjab Kings"/>
    <s v="Lost"/>
    <s v="IPL25-M064"/>
    <s v="Yes"/>
    <n v="0.5"/>
  </r>
  <r>
    <s v="IPL25-P231"/>
    <x v="228"/>
    <x v="2"/>
    <x v="2"/>
    <s v="Bangladeshi"/>
    <x v="0"/>
    <s v="Right-handed"/>
    <s v="Left-arm Medium"/>
    <n v="10"/>
    <n v="8"/>
    <n v="3"/>
    <n v="220"/>
    <n v="27"/>
    <n v="44"/>
    <n v="122.89"/>
    <n v="0"/>
    <n v="0"/>
    <n v="18"/>
    <n v="11"/>
    <n v="2"/>
    <n v="11"/>
    <n v="24.8"/>
    <n v="10.119999999999999"/>
    <n v="11.64"/>
    <s v="5/21"/>
    <n v="0"/>
    <n v="37.9"/>
    <n v="5"/>
    <n v="0"/>
    <s v="Royal Challengers Bengaluru"/>
    <s v="Won"/>
    <s v="IPL25-M060"/>
    <s v="No"/>
    <n v="0.2"/>
  </r>
  <r>
    <s v="IPL25-P232"/>
    <x v="229"/>
    <x v="1"/>
    <x v="1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233"/>
    <x v="230"/>
    <x v="1"/>
    <x v="1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234"/>
    <x v="231"/>
    <x v="9"/>
    <x v="9"/>
    <s v="Sri Lankan"/>
    <x v="2"/>
    <s v="Right-handed"/>
    <s v="None"/>
    <n v="13"/>
    <n v="11"/>
    <n v="1"/>
    <n v="514"/>
    <n v="87"/>
    <n v="51.4"/>
    <n v="147.87"/>
    <n v="1"/>
    <n v="0"/>
    <n v="54"/>
    <n v="21"/>
    <n v="1"/>
    <n v="0"/>
    <s v="-"/>
    <s v="-"/>
    <s v="-"/>
    <s v="-"/>
    <n v="0"/>
    <n v="0"/>
    <n v="3"/>
    <n v="0"/>
    <s v="Chennai Super Kings"/>
    <s v="Lost"/>
    <s v="IPL25-M071"/>
    <s v="No"/>
    <n v="5"/>
  </r>
  <r>
    <s v="IPL25-P235"/>
    <x v="232"/>
    <x v="9"/>
    <x v="9"/>
    <s v="Indian"/>
    <x v="0"/>
    <s v="Left-handed"/>
    <s v="Left-arm Medium"/>
    <n v="12"/>
    <n v="11"/>
    <n v="0"/>
    <n v="98"/>
    <n v="18"/>
    <n v="8.91"/>
    <n v="129.94999999999999"/>
    <n v="0"/>
    <n v="0"/>
    <n v="8"/>
    <n v="4"/>
    <n v="2"/>
    <n v="21"/>
    <n v="19.3"/>
    <n v="8.65"/>
    <n v="15.99"/>
    <s v="4/14"/>
    <n v="0"/>
    <n v="40.9"/>
    <n v="5"/>
    <n v="0"/>
    <s v="Kolkata Knight Riders"/>
    <s v="Lost"/>
    <s v="IPL25-M026"/>
    <s v="No"/>
    <n v="2"/>
  </r>
  <r>
    <s v="IPL25-P236"/>
    <x v="233"/>
    <x v="9"/>
    <x v="9"/>
    <s v="West Indian"/>
    <x v="2"/>
    <s v="Left-handed"/>
    <s v="None"/>
    <n v="8"/>
    <n v="7"/>
    <n v="2"/>
    <n v="238"/>
    <n v="50"/>
    <n v="47.6"/>
    <n v="143.96"/>
    <n v="0"/>
    <n v="0"/>
    <n v="30"/>
    <n v="9"/>
    <n v="0"/>
    <n v="0"/>
    <s v="-"/>
    <s v="-"/>
    <s v="-"/>
    <s v="-"/>
    <n v="0"/>
    <n v="0"/>
    <n v="2"/>
    <n v="0"/>
    <s v="Delhi Capitals"/>
    <s v="Lost"/>
    <s v="IPL25-M004"/>
    <s v="No"/>
    <n v="10"/>
  </r>
  <r>
    <s v="IPL25-P237"/>
    <x v="234"/>
    <x v="3"/>
    <x v="3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238"/>
    <x v="235"/>
    <x v="6"/>
    <x v="6"/>
    <s v="New Zealand"/>
    <x v="1"/>
    <s v="Left-handed"/>
    <s v="Right-arm Medium"/>
    <n v="13"/>
    <n v="13"/>
    <n v="1"/>
    <n v="551"/>
    <n v="44"/>
    <n v="45.92"/>
    <n v="170.77"/>
    <n v="1"/>
    <n v="0"/>
    <n v="49"/>
    <n v="39"/>
    <n v="1"/>
    <n v="18"/>
    <n v="20.23"/>
    <n v="7.37"/>
    <n v="10.32"/>
    <s v="2/11"/>
    <n v="0"/>
    <n v="35.1"/>
    <n v="8"/>
    <n v="0"/>
    <s v="Gujarat Titans"/>
    <s v="Won"/>
    <s v="IPL25-M041"/>
    <s v="No"/>
    <n v="3"/>
  </r>
  <r>
    <s v="IPL25-P239"/>
    <x v="236"/>
    <x v="1"/>
    <x v="1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240"/>
    <x v="237"/>
    <x v="4"/>
    <x v="4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241"/>
    <x v="238"/>
    <x v="3"/>
    <x v="3"/>
    <s v="Indian"/>
    <x v="1"/>
    <s v="Left-handed"/>
    <s v="Right-arm Medium"/>
    <n v="9"/>
    <n v="9"/>
    <n v="2"/>
    <n v="308"/>
    <n v="97"/>
    <n v="44"/>
    <n v="180.53"/>
    <n v="0"/>
    <n v="0"/>
    <n v="38"/>
    <n v="15"/>
    <n v="0"/>
    <n v="7"/>
    <n v="14.92"/>
    <n v="9.11"/>
    <n v="12"/>
    <s v="3/17"/>
    <n v="0"/>
    <n v="25.4"/>
    <n v="3"/>
    <n v="0"/>
    <s v="Kolkata Knight Riders"/>
    <s v="Lost"/>
    <s v="IPL25-M068"/>
    <s v="Yes"/>
    <n v="7.5"/>
  </r>
  <r>
    <s v="IPL25-P242"/>
    <x v="239"/>
    <x v="1"/>
    <x v="1"/>
    <s v="Indian"/>
    <x v="2"/>
    <s v="Left-handed"/>
    <s v="None"/>
    <n v="9"/>
    <n v="9"/>
    <n v="3"/>
    <n v="185"/>
    <n v="64"/>
    <n v="30.83"/>
    <n v="176.77"/>
    <n v="0"/>
    <n v="0"/>
    <n v="17"/>
    <n v="7"/>
    <n v="0"/>
    <n v="0"/>
    <s v="-"/>
    <s v="-"/>
    <s v="-"/>
    <s v="-"/>
    <n v="0"/>
    <n v="0"/>
    <n v="9"/>
    <n v="0"/>
    <s v="Royal Challengers Bengaluru"/>
    <s v="Won"/>
    <s v="IPL25-M038"/>
    <s v="No"/>
    <n v="1"/>
  </r>
  <r>
    <s v="IPL25-P243"/>
    <x v="240"/>
    <x v="0"/>
    <x v="0"/>
    <s v="South African"/>
    <x v="2"/>
    <s v="Left-handed"/>
    <s v="None"/>
    <n v="13"/>
    <n v="12"/>
    <n v="3"/>
    <n v="175"/>
    <n v="91"/>
    <n v="19.440000000000001"/>
    <n v="152.94999999999999"/>
    <n v="0"/>
    <n v="0"/>
    <n v="17"/>
    <n v="10"/>
    <n v="0"/>
    <n v="0"/>
    <s v="-"/>
    <s v="-"/>
    <s v="-"/>
    <s v="-"/>
    <n v="0"/>
    <n v="0"/>
    <n v="11"/>
    <n v="0"/>
    <s v="Kolkata Knight Riders"/>
    <s v="Lost"/>
    <s v="IPL25-M025"/>
    <s v="No"/>
    <n v="7.5"/>
  </r>
  <r>
    <s v="IPL25-P244"/>
    <x v="241"/>
    <x v="9"/>
    <x v="9"/>
    <s v="Indian"/>
    <x v="2"/>
    <s v="Right-handed"/>
    <s v="None"/>
    <n v="11"/>
    <n v="11"/>
    <n v="3"/>
    <n v="341"/>
    <n v="30"/>
    <n v="42.62"/>
    <n v="139.97999999999999"/>
    <n v="0"/>
    <n v="0"/>
    <n v="39"/>
    <n v="40"/>
    <n v="0"/>
    <n v="0"/>
    <s v="-"/>
    <s v="-"/>
    <s v="-"/>
    <s v="-"/>
    <n v="0"/>
    <n v="0"/>
    <n v="8"/>
    <n v="0"/>
    <s v="Punjab Kings"/>
    <s v="Won"/>
    <s v="IPL25-M003"/>
    <s v="No"/>
    <n v="0.2"/>
  </r>
  <r>
    <s v="IPL25-P245"/>
    <x v="242"/>
    <x v="0"/>
    <x v="0"/>
    <s v="Indian"/>
    <x v="1"/>
    <s v="Right-handed"/>
    <s v="Right-arm Medium"/>
    <n v="8"/>
    <n v="8"/>
    <n v="2"/>
    <n v="269"/>
    <n v="111"/>
    <n v="44.83"/>
    <n v="122.04"/>
    <n v="0"/>
    <n v="0"/>
    <n v="31"/>
    <n v="24"/>
    <n v="0"/>
    <n v="8"/>
    <n v="25.44"/>
    <n v="8.33"/>
    <n v="14.45"/>
    <s v="3/41"/>
    <n v="0"/>
    <n v="25.6"/>
    <n v="8"/>
    <n v="0"/>
    <s v="Lucknow Super Giants"/>
    <s v="Lost"/>
    <s v="IPL25-M009"/>
    <s v="No"/>
    <n v="18"/>
  </r>
  <r>
    <s v="IPL25-P246"/>
    <x v="243"/>
    <x v="3"/>
    <x v="3"/>
    <s v="Bangladeshi"/>
    <x v="0"/>
    <s v="Right-handed"/>
    <s v="Left-arm Medium"/>
    <n v="10"/>
    <n v="8"/>
    <n v="3"/>
    <n v="220"/>
    <n v="27"/>
    <n v="44"/>
    <n v="122.89"/>
    <n v="0"/>
    <n v="0"/>
    <n v="18"/>
    <n v="11"/>
    <n v="2"/>
    <n v="11"/>
    <n v="24.8"/>
    <n v="10.119999999999999"/>
    <n v="11.64"/>
    <s v="5/21"/>
    <n v="0"/>
    <n v="37.9"/>
    <n v="5"/>
    <n v="0"/>
    <s v="Royal Challengers Bengaluru"/>
    <s v="Won"/>
    <s v="IPL25-M060"/>
    <s v="No"/>
    <n v="0.2"/>
  </r>
  <r>
    <s v="IPL25-P247"/>
    <x v="244"/>
    <x v="2"/>
    <x v="2"/>
    <s v="Indian"/>
    <x v="2"/>
    <s v="Right-handed"/>
    <s v="None"/>
    <n v="12"/>
    <n v="10"/>
    <n v="0"/>
    <n v="281"/>
    <n v="112"/>
    <n v="28.1"/>
    <n v="147.11000000000001"/>
    <n v="0"/>
    <n v="0"/>
    <n v="32"/>
    <n v="33"/>
    <n v="0"/>
    <n v="0"/>
    <s v="-"/>
    <s v="-"/>
    <s v="-"/>
    <s v="-"/>
    <n v="0"/>
    <n v="0"/>
    <n v="7"/>
    <n v="0"/>
    <s v="Lucknow Super Giants"/>
    <s v="Lost"/>
    <s v="IPL25-M019"/>
    <s v="No"/>
    <n v="21"/>
  </r>
  <r>
    <s v="IPL25-P248"/>
    <x v="245"/>
    <x v="8"/>
    <x v="8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249"/>
    <x v="246"/>
    <x v="4"/>
    <x v="4"/>
    <s v="New Zealand"/>
    <x v="1"/>
    <s v="Left-handed"/>
    <s v="Right-arm Medium"/>
    <n v="13"/>
    <n v="13"/>
    <n v="1"/>
    <n v="551"/>
    <n v="44"/>
    <n v="45.92"/>
    <n v="170.77"/>
    <n v="1"/>
    <n v="0"/>
    <n v="49"/>
    <n v="39"/>
    <n v="1"/>
    <n v="18"/>
    <n v="20.23"/>
    <n v="7.37"/>
    <n v="10.32"/>
    <s v="2/11"/>
    <n v="0"/>
    <n v="35.1"/>
    <n v="8"/>
    <n v="0"/>
    <s v="Gujarat Titans"/>
    <s v="Won"/>
    <s v="IPL25-M041"/>
    <s v="No"/>
    <n v="3"/>
  </r>
  <r>
    <s v="IPL25-P250"/>
    <x v="247"/>
    <x v="9"/>
    <x v="9"/>
    <s v="Indian"/>
    <x v="2"/>
    <s v="Left-handed"/>
    <s v="None"/>
    <n v="11"/>
    <n v="10"/>
    <n v="1"/>
    <n v="382"/>
    <n v="33"/>
    <n v="42.44"/>
    <n v="176.49"/>
    <n v="0"/>
    <n v="0"/>
    <n v="47"/>
    <n v="24"/>
    <n v="0"/>
    <n v="0"/>
    <s v="-"/>
    <s v="-"/>
    <s v="-"/>
    <s v="-"/>
    <n v="0"/>
    <n v="0"/>
    <n v="7"/>
    <n v="0"/>
    <s v="Rajasthan Royals"/>
    <s v="Lost"/>
    <s v="IPL25-M039"/>
    <s v="Yes"/>
    <n v="0.5"/>
  </r>
  <r>
    <s v="IPL25-P251"/>
    <x v="248"/>
    <x v="4"/>
    <x v="4"/>
    <s v="Indian"/>
    <x v="2"/>
    <s v="Right-handed"/>
    <s v="None"/>
    <n v="11"/>
    <n v="11"/>
    <n v="3"/>
    <n v="234"/>
    <n v="101"/>
    <n v="29.25"/>
    <n v="183.3"/>
    <n v="0"/>
    <n v="0"/>
    <n v="25"/>
    <n v="16"/>
    <n v="0"/>
    <n v="0"/>
    <s v="-"/>
    <s v="-"/>
    <s v="-"/>
    <s v="-"/>
    <n v="0"/>
    <n v="0"/>
    <n v="7"/>
    <n v="0"/>
    <s v="Delhi Capitals"/>
    <s v="Won"/>
    <s v="IPL25-M013"/>
    <s v="No"/>
    <n v="1"/>
  </r>
  <r>
    <s v="IPL25-P252"/>
    <x v="249"/>
    <x v="3"/>
    <x v="3"/>
    <s v="Indian"/>
    <x v="1"/>
    <s v="Right-handed"/>
    <s v="Right-arm Medium"/>
    <n v="13"/>
    <n v="13"/>
    <n v="1"/>
    <n v="645"/>
    <n v="54"/>
    <n v="53.75"/>
    <n v="147.24"/>
    <n v="1"/>
    <n v="0"/>
    <n v="84"/>
    <n v="49"/>
    <n v="0"/>
    <n v="6"/>
    <n v="34.61"/>
    <n v="7.28"/>
    <n v="18.61"/>
    <s v="3/20"/>
    <n v="0"/>
    <n v="42.9"/>
    <n v="8"/>
    <n v="0"/>
    <s v="Delhi Capitals"/>
    <s v="Won"/>
    <s v="IPL25-M013"/>
    <s v="No"/>
    <n v="2"/>
  </r>
  <r>
    <s v="IPL25-P253"/>
    <x v="250"/>
    <x v="3"/>
    <x v="3"/>
    <s v="New Zealand"/>
    <x v="2"/>
    <s v="Right-handed"/>
    <s v="None"/>
    <n v="12"/>
    <n v="10"/>
    <n v="3"/>
    <n v="324"/>
    <n v="69"/>
    <n v="46.29"/>
    <n v="154.68"/>
    <n v="0"/>
    <n v="0"/>
    <n v="39"/>
    <n v="38"/>
    <n v="0"/>
    <n v="0"/>
    <s v="-"/>
    <s v="-"/>
    <s v="-"/>
    <s v="-"/>
    <n v="0"/>
    <n v="0"/>
    <n v="4"/>
    <n v="0"/>
    <s v="Delhi Capitals"/>
    <s v="Lost"/>
    <s v="IPL25-M061"/>
    <s v="No"/>
    <n v="1.5"/>
  </r>
  <r>
    <s v="IPL25-P254"/>
    <x v="251"/>
    <x v="5"/>
    <x v="5"/>
    <s v="English"/>
    <x v="1"/>
    <s v="Right-handed"/>
    <s v="Right-arm Fast"/>
    <n v="8"/>
    <n v="8"/>
    <n v="2"/>
    <n v="111"/>
    <n v="82"/>
    <n v="18.5"/>
    <n v="150.5"/>
    <n v="0"/>
    <n v="0"/>
    <n v="12"/>
    <n v="6"/>
    <n v="0"/>
    <n v="15"/>
    <n v="33.26"/>
    <n v="7.35"/>
    <n v="14.54"/>
    <s v="4/14"/>
    <n v="0"/>
    <n v="27"/>
    <n v="2"/>
    <n v="0"/>
    <s v="Kolkata Knight Riders"/>
    <s v="Won"/>
    <s v="IPL25-M014"/>
    <s v="Yes"/>
    <n v="5"/>
  </r>
  <r>
    <s v="IPL25-P255"/>
    <x v="252"/>
    <x v="7"/>
    <x v="7"/>
    <s v="Indian"/>
    <x v="1"/>
    <s v="Left-handed"/>
    <s v="Right-arm Leg-spin"/>
    <n v="13"/>
    <n v="13"/>
    <n v="0"/>
    <n v="687"/>
    <n v="42"/>
    <n v="52.85"/>
    <n v="167.89"/>
    <n v="1"/>
    <n v="0"/>
    <n v="74"/>
    <n v="38"/>
    <n v="1"/>
    <n v="22"/>
    <n v="15.25"/>
    <n v="7.43"/>
    <n v="12.26"/>
    <s v="2/38"/>
    <n v="0"/>
    <n v="43.8"/>
    <n v="3"/>
    <n v="0"/>
    <s v="Kolkata Knight Riders"/>
    <s v="Lost"/>
    <s v="IPL25-M023"/>
    <s v="No"/>
    <n v="6"/>
  </r>
  <r>
    <s v="IPL25-P256"/>
    <x v="253"/>
    <x v="6"/>
    <x v="6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257"/>
    <x v="254"/>
    <x v="7"/>
    <x v="7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258"/>
    <x v="255"/>
    <x v="3"/>
    <x v="3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259"/>
    <x v="256"/>
    <x v="7"/>
    <x v="7"/>
    <s v="Indian"/>
    <x v="2"/>
    <s v="Right-handed"/>
    <s v="None"/>
    <n v="13"/>
    <n v="12"/>
    <n v="3"/>
    <n v="314"/>
    <n v="33"/>
    <n v="34.89"/>
    <n v="167.53"/>
    <n v="0"/>
    <n v="0"/>
    <n v="31"/>
    <n v="31"/>
    <n v="0"/>
    <n v="0"/>
    <s v="-"/>
    <s v="-"/>
    <s v="-"/>
    <s v="-"/>
    <n v="0"/>
    <n v="0"/>
    <n v="11"/>
    <n v="0"/>
    <s v="Lucknow Super Giants"/>
    <s v="Won"/>
    <s v="IPL25-M016"/>
    <s v="No"/>
    <n v="2"/>
  </r>
  <r>
    <s v="IPL25-P260"/>
    <x v="257"/>
    <x v="5"/>
    <x v="5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261"/>
    <x v="258"/>
    <x v="6"/>
    <x v="6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262"/>
    <x v="259"/>
    <x v="3"/>
    <x v="3"/>
    <s v="Bangladeshi"/>
    <x v="2"/>
    <s v="Right-handed"/>
    <s v="None"/>
    <n v="13"/>
    <n v="13"/>
    <n v="0"/>
    <n v="521"/>
    <n v="76"/>
    <n v="40.08"/>
    <n v="131.91"/>
    <n v="1"/>
    <n v="0"/>
    <n v="48"/>
    <n v="29"/>
    <n v="0"/>
    <n v="0"/>
    <s v="-"/>
    <s v="-"/>
    <s v="-"/>
    <s v="-"/>
    <n v="0"/>
    <n v="0"/>
    <n v="10"/>
    <n v="0"/>
    <s v="Delhi Capitals"/>
    <s v="Won"/>
    <s v="IPL25-M044"/>
    <s v="No"/>
    <n v="5"/>
  </r>
  <r>
    <s v="IPL25-P263"/>
    <x v="260"/>
    <x v="1"/>
    <x v="1"/>
    <s v="Indian"/>
    <x v="1"/>
    <s v="Right-handed"/>
    <s v="Right-arm Medium"/>
    <n v="14"/>
    <n v="12"/>
    <n v="0"/>
    <n v="636"/>
    <n v="88"/>
    <n v="53"/>
    <n v="183.11"/>
    <n v="1"/>
    <n v="0"/>
    <n v="54"/>
    <n v="70"/>
    <n v="1"/>
    <n v="16"/>
    <n v="22.19"/>
    <n v="8.6999999999999993"/>
    <n v="17.190000000000001"/>
    <s v="4/10"/>
    <n v="0"/>
    <n v="46.5"/>
    <n v="10"/>
    <n v="0"/>
    <s v="Rajasthan Royals"/>
    <s v="Won"/>
    <s v="IPL25-M027"/>
    <s v="No"/>
    <n v="0.75"/>
  </r>
  <r>
    <s v="IPL25-P264"/>
    <x v="261"/>
    <x v="8"/>
    <x v="8"/>
    <s v="New Zealand"/>
    <x v="1"/>
    <s v="Left-handed"/>
    <s v="Left-arm Medium"/>
    <n v="10"/>
    <n v="10"/>
    <n v="1"/>
    <n v="472"/>
    <n v="49"/>
    <n v="52.44"/>
    <n v="178.7"/>
    <n v="0"/>
    <n v="0"/>
    <n v="56"/>
    <n v="53"/>
    <n v="0"/>
    <n v="15"/>
    <n v="18.670000000000002"/>
    <n v="7.76"/>
    <n v="16.13"/>
    <s v="4/10"/>
    <n v="0"/>
    <n v="33.1"/>
    <n v="9"/>
    <n v="0"/>
    <s v="Royal Challengers Bengaluru"/>
    <s v="Won"/>
    <s v="IPL25-M036"/>
    <s v="No"/>
    <n v="4"/>
  </r>
  <r>
    <s v="IPL25-P265"/>
    <x v="262"/>
    <x v="9"/>
    <x v="9"/>
    <s v="Indian"/>
    <x v="1"/>
    <s v="Left-handed"/>
    <s v="Right-arm Medium"/>
    <n v="9"/>
    <n v="9"/>
    <n v="2"/>
    <n v="308"/>
    <n v="97"/>
    <n v="44"/>
    <n v="180.53"/>
    <n v="0"/>
    <n v="0"/>
    <n v="38"/>
    <n v="15"/>
    <n v="0"/>
    <n v="7"/>
    <n v="14.92"/>
    <n v="9.11"/>
    <n v="12"/>
    <s v="3/17"/>
    <n v="0"/>
    <n v="25.4"/>
    <n v="3"/>
    <n v="0"/>
    <s v="Kolkata Knight Riders"/>
    <s v="Lost"/>
    <s v="IPL25-M068"/>
    <s v="Yes"/>
    <n v="7.5"/>
  </r>
  <r>
    <s v="IPL25-P266"/>
    <x v="263"/>
    <x v="2"/>
    <x v="2"/>
    <s v="South African"/>
    <x v="2"/>
    <s v="Left-handed"/>
    <s v="None"/>
    <n v="13"/>
    <n v="11"/>
    <n v="3"/>
    <n v="368"/>
    <n v="79"/>
    <n v="46"/>
    <n v="157.30000000000001"/>
    <n v="0"/>
    <n v="0"/>
    <n v="34"/>
    <n v="21"/>
    <n v="0"/>
    <n v="0"/>
    <s v="-"/>
    <s v="-"/>
    <s v="-"/>
    <s v="-"/>
    <n v="0"/>
    <n v="0"/>
    <n v="12"/>
    <n v="0"/>
    <s v="Delhi Capitals"/>
    <s v="Lost"/>
    <s v="IPL25-M030"/>
    <s v="No"/>
    <n v="15"/>
  </r>
  <r>
    <s v="IPL25-P267"/>
    <x v="264"/>
    <x v="6"/>
    <x v="6"/>
    <s v="Indian"/>
    <x v="1"/>
    <s v="Left-handed"/>
    <s v="Right-arm Leg-spin"/>
    <n v="9"/>
    <n v="8"/>
    <n v="3"/>
    <n v="263"/>
    <n v="38"/>
    <n v="52.6"/>
    <n v="157.26"/>
    <n v="0"/>
    <n v="0"/>
    <n v="25"/>
    <n v="13"/>
    <n v="0"/>
    <n v="9"/>
    <n v="21.27"/>
    <n v="9.2799999999999994"/>
    <n v="20.39"/>
    <s v="4/38"/>
    <n v="0"/>
    <n v="28.6"/>
    <n v="4"/>
    <n v="0"/>
    <s v="Gujarat Titans"/>
    <s v="Won"/>
    <s v="IPL25-M010"/>
    <s v="No"/>
    <n v="5"/>
  </r>
  <r>
    <s v="IPL25-P268"/>
    <x v="265"/>
    <x v="8"/>
    <x v="8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269"/>
    <x v="266"/>
    <x v="3"/>
    <x v="3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270"/>
    <x v="267"/>
    <x v="4"/>
    <x v="4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271"/>
    <x v="268"/>
    <x v="7"/>
    <x v="7"/>
    <s v="Pakistani"/>
    <x v="1"/>
    <s v="Left-handed"/>
    <s v="Right-arm Fast"/>
    <n v="9"/>
    <n v="7"/>
    <n v="1"/>
    <n v="124"/>
    <n v="76"/>
    <n v="20.67"/>
    <n v="122.36"/>
    <n v="0"/>
    <n v="0"/>
    <n v="12"/>
    <n v="7"/>
    <n v="0"/>
    <n v="10"/>
    <n v="17.79"/>
    <n v="8.09"/>
    <n v="15.26"/>
    <s v="5/36"/>
    <n v="0"/>
    <n v="26.9"/>
    <n v="2"/>
    <n v="0"/>
    <s v="Punjab Kings"/>
    <s v="Lost"/>
    <s v="IPL25-M070"/>
    <s v="No"/>
    <n v="6"/>
  </r>
  <r>
    <s v="IPL25-P272"/>
    <x v="269"/>
    <x v="9"/>
    <x v="9"/>
    <s v="Indian"/>
    <x v="0"/>
    <s v="Left-handed"/>
    <s v="Right-arm Medium"/>
    <n v="9"/>
    <n v="8"/>
    <n v="3"/>
    <n v="107"/>
    <n v="10"/>
    <n v="21.4"/>
    <n v="103.61"/>
    <n v="0"/>
    <n v="0"/>
    <n v="8"/>
    <n v="5"/>
    <n v="1"/>
    <n v="12"/>
    <n v="28.16"/>
    <n v="10.37"/>
    <n v="12.24"/>
    <s v="3/40"/>
    <n v="0"/>
    <n v="24.1"/>
    <n v="4"/>
    <n v="0"/>
    <s v="Punjab Kings"/>
    <s v="Lost"/>
    <s v="IPL25-M010"/>
    <s v="No"/>
    <n v="1.5"/>
  </r>
  <r>
    <s v="IPL25-P273"/>
    <x v="270"/>
    <x v="3"/>
    <x v="3"/>
    <s v="Pakistani"/>
    <x v="2"/>
    <s v="Left-handed"/>
    <s v="None"/>
    <n v="10"/>
    <n v="8"/>
    <n v="3"/>
    <n v="261"/>
    <n v="65"/>
    <n v="52.2"/>
    <n v="128.86000000000001"/>
    <n v="0"/>
    <n v="0"/>
    <n v="35"/>
    <n v="13"/>
    <n v="0"/>
    <n v="0"/>
    <s v="-"/>
    <s v="-"/>
    <s v="-"/>
    <s v="-"/>
    <n v="0"/>
    <n v="0"/>
    <n v="3"/>
    <n v="0"/>
    <s v="Gujarat Titans"/>
    <s v="Won"/>
    <s v="IPL25-M022"/>
    <s v="No"/>
    <n v="0.4"/>
  </r>
  <r>
    <s v="IPL25-P274"/>
    <x v="271"/>
    <x v="0"/>
    <x v="0"/>
    <s v="Bangladeshi"/>
    <x v="0"/>
    <s v="Right-handed"/>
    <s v="Right-arm Fast"/>
    <n v="14"/>
    <n v="14"/>
    <n v="1"/>
    <n v="230"/>
    <n v="15"/>
    <n v="17.690000000000001"/>
    <n v="104.85"/>
    <n v="0"/>
    <n v="0"/>
    <n v="19"/>
    <n v="11"/>
    <n v="3"/>
    <n v="16"/>
    <n v="29.63"/>
    <n v="8.8800000000000008"/>
    <n v="17.78"/>
    <s v="5/35"/>
    <n v="0"/>
    <n v="40"/>
    <n v="12"/>
    <n v="0"/>
    <s v="Delhi Capitals"/>
    <s v="Won"/>
    <s v="IPL25-M006"/>
    <s v="No"/>
    <n v="1.5"/>
  </r>
  <r>
    <s v="IPL25-P275"/>
    <x v="272"/>
    <x v="1"/>
    <x v="1"/>
    <s v="Indian"/>
    <x v="1"/>
    <s v="Right-handed"/>
    <s v="Left-arm Medium"/>
    <n v="8"/>
    <n v="6"/>
    <n v="3"/>
    <n v="122"/>
    <n v="102"/>
    <n v="40.67"/>
    <n v="167.6"/>
    <n v="0"/>
    <n v="0"/>
    <n v="14"/>
    <n v="13"/>
    <n v="0"/>
    <n v="3"/>
    <n v="17.670000000000002"/>
    <n v="6.57"/>
    <n v="13.32"/>
    <s v="2/41"/>
    <n v="0"/>
    <n v="29.9"/>
    <n v="8"/>
    <n v="0"/>
    <s v="Sunrisers Hyderabad"/>
    <s v="Won"/>
    <s v="IPL25-M026"/>
    <s v="Yes"/>
    <n v="18"/>
  </r>
  <r>
    <s v="IPL25-P276"/>
    <x v="273"/>
    <x v="7"/>
    <x v="7"/>
    <s v="Sri Lankan"/>
    <x v="2"/>
    <s v="Left-handed"/>
    <s v="None"/>
    <n v="10"/>
    <n v="8"/>
    <n v="0"/>
    <n v="363"/>
    <n v="96"/>
    <n v="45.38"/>
    <n v="124.91"/>
    <n v="0"/>
    <n v="0"/>
    <n v="40"/>
    <n v="21"/>
    <n v="0"/>
    <n v="0"/>
    <s v="-"/>
    <s v="-"/>
    <s v="-"/>
    <s v="-"/>
    <n v="0"/>
    <n v="0"/>
    <n v="9"/>
    <n v="0"/>
    <s v="Lucknow Super Giants"/>
    <s v="Won"/>
    <s v="IPL25-M072"/>
    <s v="No"/>
    <n v="7.5"/>
  </r>
  <r>
    <s v="IPL25-P277"/>
    <x v="274"/>
    <x v="9"/>
    <x v="9"/>
    <s v="Bangladeshi"/>
    <x v="0"/>
    <s v="Right-handed"/>
    <s v="Right-arm Fast"/>
    <n v="14"/>
    <n v="14"/>
    <n v="1"/>
    <n v="230"/>
    <n v="15"/>
    <n v="17.690000000000001"/>
    <n v="104.85"/>
    <n v="0"/>
    <n v="0"/>
    <n v="19"/>
    <n v="11"/>
    <n v="3"/>
    <n v="16"/>
    <n v="29.63"/>
    <n v="8.8800000000000008"/>
    <n v="17.78"/>
    <s v="5/35"/>
    <n v="0"/>
    <n v="40"/>
    <n v="12"/>
    <n v="0"/>
    <s v="Delhi Capitals"/>
    <s v="Won"/>
    <s v="IPL25-M006"/>
    <s v="No"/>
    <n v="1.5"/>
  </r>
  <r>
    <s v="IPL25-P278"/>
    <x v="275"/>
    <x v="5"/>
    <x v="5"/>
    <s v="South African"/>
    <x v="0"/>
    <s v="Right-handed"/>
    <s v="Right-arm Off-spin"/>
    <n v="9"/>
    <n v="7"/>
    <n v="0"/>
    <n v="210"/>
    <n v="26"/>
    <n v="30"/>
    <n v="107.06"/>
    <n v="0"/>
    <n v="0"/>
    <n v="17"/>
    <n v="10"/>
    <n v="2"/>
    <n v="20"/>
    <n v="22.15"/>
    <n v="7.7"/>
    <n v="14.58"/>
    <s v="5/23"/>
    <n v="1"/>
    <n v="29.5"/>
    <n v="6"/>
    <n v="0"/>
    <s v="Punjab Kings"/>
    <s v="Lost"/>
    <s v="IPL25-M064"/>
    <s v="Yes"/>
    <n v="0.5"/>
  </r>
  <r>
    <s v="IPL25-P279"/>
    <x v="276"/>
    <x v="2"/>
    <x v="2"/>
    <s v="Indian"/>
    <x v="0"/>
    <s v="Right-handed"/>
    <s v="Right-arm Fast"/>
    <n v="12"/>
    <n v="11"/>
    <n v="0"/>
    <n v="200"/>
    <n v="14"/>
    <n v="18.18"/>
    <n v="98.72"/>
    <n v="0"/>
    <n v="0"/>
    <n v="16"/>
    <n v="10"/>
    <n v="2"/>
    <n v="20"/>
    <n v="28.33"/>
    <n v="10.4"/>
    <n v="11.39"/>
    <s v="4/17"/>
    <n v="1"/>
    <n v="41.9"/>
    <n v="12"/>
    <n v="0"/>
    <s v="Lucknow Super Giants"/>
    <s v="Lost"/>
    <s v="IPL25-M066"/>
    <s v="Yes"/>
    <n v="10"/>
  </r>
  <r>
    <s v="IPL25-P280"/>
    <x v="277"/>
    <x v="8"/>
    <x v="8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281"/>
    <x v="278"/>
    <x v="4"/>
    <x v="4"/>
    <s v="Sri Lankan"/>
    <x v="0"/>
    <s v="Right-handed"/>
    <s v="Left-arm Fast"/>
    <n v="9"/>
    <n v="8"/>
    <n v="1"/>
    <n v="163"/>
    <n v="19"/>
    <n v="23.29"/>
    <n v="115.23"/>
    <n v="0"/>
    <n v="0"/>
    <n v="13"/>
    <n v="8"/>
    <n v="1"/>
    <n v="15"/>
    <n v="22.51"/>
    <n v="6.77"/>
    <n v="14.21"/>
    <s v="2/13"/>
    <n v="0"/>
    <n v="28.2"/>
    <n v="9"/>
    <n v="0"/>
    <s v="Mumbai Indians"/>
    <s v="Won"/>
    <s v="IPL25-M067"/>
    <s v="No"/>
    <n v="15"/>
  </r>
  <r>
    <s v="IPL25-P282"/>
    <x v="279"/>
    <x v="0"/>
    <x v="0"/>
    <s v="Indian"/>
    <x v="0"/>
    <s v="Left-handed"/>
    <s v="Left-arm Medium"/>
    <n v="12"/>
    <n v="10"/>
    <n v="0"/>
    <n v="21"/>
    <n v="33"/>
    <n v="2.1"/>
    <n v="121.91"/>
    <n v="0"/>
    <n v="0"/>
    <n v="1"/>
    <n v="1"/>
    <n v="3"/>
    <n v="4"/>
    <n v="26.93"/>
    <n v="8.42"/>
    <n v="10.94"/>
    <s v="3/36"/>
    <n v="0"/>
    <n v="33.799999999999997"/>
    <n v="9"/>
    <n v="0"/>
    <s v="Delhi Capitals"/>
    <s v="Won"/>
    <s v="IPL25-M053"/>
    <s v="No"/>
    <n v="18"/>
  </r>
  <r>
    <s v="IPL25-P283"/>
    <x v="280"/>
    <x v="0"/>
    <x v="0"/>
    <s v="Indian"/>
    <x v="0"/>
    <s v="Right-handed"/>
    <s v="Left-arm Fast"/>
    <n v="14"/>
    <n v="14"/>
    <n v="2"/>
    <n v="293"/>
    <n v="8"/>
    <n v="24.42"/>
    <n v="106.17"/>
    <n v="0"/>
    <n v="0"/>
    <n v="24"/>
    <n v="14"/>
    <n v="0"/>
    <n v="18"/>
    <n v="14.73"/>
    <n v="6.84"/>
    <n v="13.41"/>
    <s v="5/14"/>
    <n v="0"/>
    <n v="36.200000000000003"/>
    <n v="13"/>
    <n v="0"/>
    <s v="Gujarat Titans"/>
    <s v="Lost"/>
    <s v="IPL25-M063"/>
    <s v="No"/>
    <n v="0.5"/>
  </r>
  <r>
    <s v="IPL25-P284"/>
    <x v="281"/>
    <x v="3"/>
    <x v="3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285"/>
    <x v="282"/>
    <x v="5"/>
    <x v="5"/>
    <s v="Indian"/>
    <x v="1"/>
    <s v="Right-handed"/>
    <s v="Left-arm Spin"/>
    <n v="11"/>
    <n v="10"/>
    <n v="3"/>
    <n v="187"/>
    <n v="60"/>
    <n v="26.71"/>
    <n v="153.07"/>
    <n v="0"/>
    <n v="0"/>
    <n v="24"/>
    <n v="11"/>
    <n v="0"/>
    <n v="5"/>
    <n v="15.55"/>
    <n v="10.28"/>
    <n v="16.78"/>
    <s v="5/24"/>
    <n v="0"/>
    <n v="30.9"/>
    <n v="9"/>
    <n v="0"/>
    <s v="Royal Challengers Bengaluru"/>
    <s v="Lost"/>
    <s v="IPL25-M043"/>
    <s v="No"/>
    <n v="0.4"/>
  </r>
  <r>
    <s v="IPL25-P286"/>
    <x v="283"/>
    <x v="5"/>
    <x v="5"/>
    <s v="Indian"/>
    <x v="1"/>
    <s v="Right-handed"/>
    <s v="Left-arm Fast"/>
    <n v="13"/>
    <n v="12"/>
    <n v="1"/>
    <n v="523"/>
    <n v="88"/>
    <n v="47.55"/>
    <n v="129.71"/>
    <n v="1"/>
    <n v="0"/>
    <n v="61"/>
    <n v="34"/>
    <n v="0"/>
    <n v="12"/>
    <n v="22.7"/>
    <n v="8.8000000000000007"/>
    <n v="17.95"/>
    <s v="5/39"/>
    <n v="0"/>
    <n v="46.7"/>
    <n v="10"/>
    <n v="0"/>
    <s v="Punjab Kings"/>
    <s v="Lost"/>
    <s v="IPL25-M070"/>
    <s v="No"/>
    <n v="5"/>
  </r>
  <r>
    <s v="IPL25-P287"/>
    <x v="284"/>
    <x v="9"/>
    <x v="9"/>
    <s v="South African"/>
    <x v="0"/>
    <s v="Right-handed"/>
    <s v="Right-arm Off-spin"/>
    <n v="9"/>
    <n v="7"/>
    <n v="0"/>
    <n v="210"/>
    <n v="26"/>
    <n v="30"/>
    <n v="107.06"/>
    <n v="0"/>
    <n v="0"/>
    <n v="17"/>
    <n v="10"/>
    <n v="2"/>
    <n v="20"/>
    <n v="22.15"/>
    <n v="7.7"/>
    <n v="14.58"/>
    <s v="5/23"/>
    <n v="1"/>
    <n v="29.5"/>
    <n v="6"/>
    <n v="0"/>
    <s v="Punjab Kings"/>
    <s v="Lost"/>
    <s v="IPL25-M064"/>
    <s v="Yes"/>
    <n v="0.5"/>
  </r>
  <r>
    <s v="IPL25-P288"/>
    <x v="285"/>
    <x v="5"/>
    <x v="5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289"/>
    <x v="286"/>
    <x v="1"/>
    <x v="1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290"/>
    <x v="287"/>
    <x v="1"/>
    <x v="1"/>
    <s v="Indian"/>
    <x v="2"/>
    <s v="Right-handed"/>
    <s v="None"/>
    <n v="11"/>
    <n v="11"/>
    <n v="3"/>
    <n v="341"/>
    <n v="30"/>
    <n v="42.62"/>
    <n v="139.97999999999999"/>
    <n v="0"/>
    <n v="0"/>
    <n v="39"/>
    <n v="40"/>
    <n v="0"/>
    <n v="0"/>
    <s v="-"/>
    <s v="-"/>
    <s v="-"/>
    <s v="-"/>
    <n v="0"/>
    <n v="0"/>
    <n v="8"/>
    <n v="0"/>
    <s v="Punjab Kings"/>
    <s v="Won"/>
    <s v="IPL25-M003"/>
    <s v="No"/>
    <n v="0.2"/>
  </r>
  <r>
    <s v="IPL25-P291"/>
    <x v="288"/>
    <x v="9"/>
    <x v="9"/>
    <s v="Indian"/>
    <x v="2"/>
    <s v="Right-handed"/>
    <s v="None"/>
    <n v="12"/>
    <n v="12"/>
    <n v="2"/>
    <n v="203"/>
    <n v="111"/>
    <n v="20.3"/>
    <n v="163.82"/>
    <n v="0"/>
    <n v="0"/>
    <n v="27"/>
    <n v="21"/>
    <n v="1"/>
    <n v="0"/>
    <s v="-"/>
    <s v="-"/>
    <s v="-"/>
    <s v="-"/>
    <n v="0"/>
    <n v="0"/>
    <n v="5"/>
    <n v="0"/>
    <s v="Gujarat Titans"/>
    <s v="Lost"/>
    <s v="IPL25-M063"/>
    <s v="No"/>
    <n v="2"/>
  </r>
  <r>
    <s v="IPL25-P292"/>
    <x v="289"/>
    <x v="5"/>
    <x v="5"/>
    <s v="Australian"/>
    <x v="1"/>
    <s v="Right-handed"/>
    <s v="Right-arm Off-spin"/>
    <n v="12"/>
    <n v="10"/>
    <n v="3"/>
    <n v="129"/>
    <n v="81"/>
    <n v="18.43"/>
    <n v="125.06"/>
    <n v="0"/>
    <n v="0"/>
    <n v="13"/>
    <n v="11"/>
    <n v="0"/>
    <n v="18"/>
    <n v="16.510000000000002"/>
    <n v="9.75"/>
    <n v="16.43"/>
    <s v="4/26"/>
    <n v="0"/>
    <n v="32.200000000000003"/>
    <n v="10"/>
    <n v="0"/>
    <s v="Rajasthan Royals"/>
    <s v="Won"/>
    <s v="IPL25-M019"/>
    <s v="No"/>
    <n v="5"/>
  </r>
  <r>
    <s v="IPL25-P293"/>
    <x v="290"/>
    <x v="5"/>
    <x v="5"/>
    <s v="Indian"/>
    <x v="1"/>
    <s v="Left-handed"/>
    <s v="Right-arm Fast"/>
    <n v="14"/>
    <n v="14"/>
    <n v="1"/>
    <n v="254"/>
    <n v="81"/>
    <n v="19.54"/>
    <n v="182.1"/>
    <n v="0"/>
    <n v="0"/>
    <n v="28"/>
    <n v="28"/>
    <n v="1"/>
    <n v="8"/>
    <n v="19.739999999999998"/>
    <n v="6.81"/>
    <n v="19.8"/>
    <s v="3/31"/>
    <n v="0"/>
    <n v="41.3"/>
    <n v="11"/>
    <n v="0"/>
    <s v="Gujarat Titans"/>
    <s v="Lost"/>
    <s v="IPL25-M017"/>
    <s v="No"/>
    <n v="6"/>
  </r>
  <r>
    <s v="IPL25-P294"/>
    <x v="291"/>
    <x v="2"/>
    <x v="2"/>
    <s v="Indian"/>
    <x v="1"/>
    <s v="Left-handed"/>
    <s v="Left-arm Fast"/>
    <n v="10"/>
    <n v="8"/>
    <n v="1"/>
    <n v="248"/>
    <n v="53"/>
    <n v="35.43"/>
    <n v="181.57"/>
    <n v="0"/>
    <n v="0"/>
    <n v="29"/>
    <n v="29"/>
    <n v="0"/>
    <n v="14"/>
    <n v="25"/>
    <n v="10.06"/>
    <n v="18.3"/>
    <s v="5/30"/>
    <n v="0"/>
    <n v="33.4"/>
    <n v="9"/>
    <n v="0"/>
    <s v="Lucknow Super Giants"/>
    <s v="Lost"/>
    <s v="IPL25-M062"/>
    <s v="No"/>
    <n v="6"/>
  </r>
  <r>
    <s v="IPL25-P295"/>
    <x v="292"/>
    <x v="7"/>
    <x v="7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296"/>
    <x v="293"/>
    <x v="1"/>
    <x v="1"/>
    <s v="West Indian"/>
    <x v="2"/>
    <s v="Left-handed"/>
    <s v="None"/>
    <n v="8"/>
    <n v="7"/>
    <n v="2"/>
    <n v="238"/>
    <n v="50"/>
    <n v="47.6"/>
    <n v="143.96"/>
    <n v="0"/>
    <n v="0"/>
    <n v="30"/>
    <n v="9"/>
    <n v="0"/>
    <n v="0"/>
    <s v="-"/>
    <s v="-"/>
    <s v="-"/>
    <s v="-"/>
    <n v="0"/>
    <n v="0"/>
    <n v="2"/>
    <n v="0"/>
    <s v="Delhi Capitals"/>
    <s v="Lost"/>
    <s v="IPL25-M004"/>
    <s v="No"/>
    <n v="10"/>
  </r>
  <r>
    <s v="IPL25-P297"/>
    <x v="294"/>
    <x v="0"/>
    <x v="0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298"/>
    <x v="295"/>
    <x v="0"/>
    <x v="0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299"/>
    <x v="296"/>
    <x v="6"/>
    <x v="6"/>
    <s v="South African"/>
    <x v="2"/>
    <s v="Right-handed"/>
    <s v="None"/>
    <n v="13"/>
    <n v="12"/>
    <n v="3"/>
    <n v="299"/>
    <n v="45"/>
    <n v="33.22"/>
    <n v="183.16"/>
    <n v="0"/>
    <n v="0"/>
    <n v="32"/>
    <n v="27"/>
    <n v="1"/>
    <n v="0"/>
    <s v="-"/>
    <s v="-"/>
    <s v="-"/>
    <s v="-"/>
    <n v="0"/>
    <n v="0"/>
    <n v="7"/>
    <n v="0"/>
    <s v="Kolkata Knight Riders"/>
    <s v="Lost"/>
    <s v="IPL25-M026"/>
    <s v="No"/>
    <n v="0.5"/>
  </r>
  <r>
    <s v="IPL25-P300"/>
    <x v="297"/>
    <x v="3"/>
    <x v="3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301"/>
    <x v="298"/>
    <x v="6"/>
    <x v="6"/>
    <s v="New Zealand"/>
    <x v="1"/>
    <s v="Left-handed"/>
    <s v="Right-arm Medium"/>
    <n v="13"/>
    <n v="13"/>
    <n v="1"/>
    <n v="551"/>
    <n v="44"/>
    <n v="45.92"/>
    <n v="170.77"/>
    <n v="1"/>
    <n v="0"/>
    <n v="49"/>
    <n v="39"/>
    <n v="1"/>
    <n v="18"/>
    <n v="20.23"/>
    <n v="7.37"/>
    <n v="10.32"/>
    <s v="2/11"/>
    <n v="0"/>
    <n v="35.1"/>
    <n v="8"/>
    <n v="0"/>
    <s v="Gujarat Titans"/>
    <s v="Won"/>
    <s v="IPL25-M041"/>
    <s v="No"/>
    <n v="3"/>
  </r>
  <r>
    <s v="IPL25-P302"/>
    <x v="299"/>
    <x v="9"/>
    <x v="9"/>
    <s v="South African"/>
    <x v="1"/>
    <s v="Right-handed"/>
    <s v="Right-arm Medium"/>
    <n v="14"/>
    <n v="12"/>
    <n v="0"/>
    <n v="370"/>
    <n v="116"/>
    <n v="30.83"/>
    <n v="176.54"/>
    <n v="0"/>
    <n v="0"/>
    <n v="36"/>
    <n v="18"/>
    <n v="1"/>
    <n v="8"/>
    <n v="21.7"/>
    <n v="7.75"/>
    <n v="14.72"/>
    <s v="2/10"/>
    <n v="0"/>
    <n v="43.8"/>
    <n v="2"/>
    <n v="0"/>
    <s v="Gujarat Titans"/>
    <s v="Lost"/>
    <s v="IPL25-M018"/>
    <s v="No"/>
    <n v="4"/>
  </r>
  <r>
    <s v="IPL25-P303"/>
    <x v="300"/>
    <x v="8"/>
    <x v="8"/>
    <s v="Pakistani"/>
    <x v="2"/>
    <s v="Right-handed"/>
    <s v="None"/>
    <n v="8"/>
    <n v="8"/>
    <n v="3"/>
    <n v="170"/>
    <n v="56"/>
    <n v="34"/>
    <n v="174.15"/>
    <n v="0"/>
    <n v="0"/>
    <n v="20"/>
    <n v="20"/>
    <n v="0"/>
    <n v="0"/>
    <s v="-"/>
    <s v="-"/>
    <s v="-"/>
    <s v="-"/>
    <n v="0"/>
    <n v="0"/>
    <n v="8"/>
    <n v="0"/>
    <s v="Chennai Super Kings"/>
    <s v="Won"/>
    <s v="IPL25-M001"/>
    <s v="No"/>
    <n v="6"/>
  </r>
  <r>
    <s v="IPL25-P304"/>
    <x v="301"/>
    <x v="7"/>
    <x v="7"/>
    <s v="Australian"/>
    <x v="1"/>
    <s v="Right-handed"/>
    <s v="Right-arm Off-spin"/>
    <n v="12"/>
    <n v="10"/>
    <n v="3"/>
    <n v="129"/>
    <n v="81"/>
    <n v="18.43"/>
    <n v="125.06"/>
    <n v="0"/>
    <n v="0"/>
    <n v="13"/>
    <n v="11"/>
    <n v="0"/>
    <n v="18"/>
    <n v="16.510000000000002"/>
    <n v="9.75"/>
    <n v="16.43"/>
    <s v="4/26"/>
    <n v="0"/>
    <n v="32.200000000000003"/>
    <n v="10"/>
    <n v="0"/>
    <s v="Rajasthan Royals"/>
    <s v="Won"/>
    <s v="IPL25-M019"/>
    <s v="No"/>
    <n v="5"/>
  </r>
  <r>
    <s v="IPL25-P305"/>
    <x v="302"/>
    <x v="0"/>
    <x v="0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306"/>
    <x v="303"/>
    <x v="3"/>
    <x v="3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307"/>
    <x v="304"/>
    <x v="0"/>
    <x v="0"/>
    <s v="Indian"/>
    <x v="2"/>
    <s v="Right-handed"/>
    <s v="None"/>
    <n v="13"/>
    <n v="13"/>
    <n v="2"/>
    <n v="596"/>
    <n v="59"/>
    <n v="54.18"/>
    <n v="126.16"/>
    <n v="0"/>
    <n v="0"/>
    <n v="56"/>
    <n v="50"/>
    <n v="0"/>
    <n v="0"/>
    <s v="-"/>
    <s v="-"/>
    <s v="-"/>
    <s v="-"/>
    <n v="0"/>
    <n v="0"/>
    <n v="9"/>
    <n v="0"/>
    <s v="Royal Challengers Bengaluru"/>
    <s v="Lost"/>
    <s v="IPL25-M049"/>
    <s v="No"/>
    <n v="3"/>
  </r>
  <r>
    <s v="IPL25-P308"/>
    <x v="305"/>
    <x v="8"/>
    <x v="8"/>
    <s v="Afghan"/>
    <x v="2"/>
    <s v="Left-handed"/>
    <s v="None"/>
    <n v="11"/>
    <n v="9"/>
    <n v="0"/>
    <n v="254"/>
    <n v="100"/>
    <n v="28.22"/>
    <n v="148.43"/>
    <n v="0"/>
    <n v="0"/>
    <n v="26"/>
    <n v="23"/>
    <n v="0"/>
    <n v="0"/>
    <s v="-"/>
    <s v="-"/>
    <s v="-"/>
    <s v="-"/>
    <n v="0"/>
    <n v="0"/>
    <n v="9"/>
    <n v="0"/>
    <s v="Rajasthan Royals"/>
    <s v="Won"/>
    <s v="IPL25-M035"/>
    <s v="No"/>
    <n v="5"/>
  </r>
  <r>
    <s v="IPL25-P309"/>
    <x v="306"/>
    <x v="6"/>
    <x v="6"/>
    <s v="Indian"/>
    <x v="1"/>
    <s v="Left-handed"/>
    <s v="Right-arm Fast"/>
    <n v="8"/>
    <n v="6"/>
    <n v="2"/>
    <n v="186"/>
    <n v="37"/>
    <n v="46.5"/>
    <n v="132.41"/>
    <n v="0"/>
    <n v="0"/>
    <n v="19"/>
    <n v="16"/>
    <n v="0"/>
    <n v="15"/>
    <n v="21.6"/>
    <n v="9.6"/>
    <n v="10.41"/>
    <s v="2/16"/>
    <n v="0"/>
    <n v="29.5"/>
    <n v="4"/>
    <n v="0"/>
    <s v="Chennai Super Kings"/>
    <s v="Won"/>
    <s v="IPL25-M042"/>
    <s v="No"/>
    <n v="0.4"/>
  </r>
  <r>
    <s v="IPL25-P310"/>
    <x v="307"/>
    <x v="1"/>
    <x v="1"/>
    <s v="Indian"/>
    <x v="1"/>
    <s v="Right-handed"/>
    <s v="Right-arm Medium"/>
    <n v="14"/>
    <n v="12"/>
    <n v="0"/>
    <n v="636"/>
    <n v="88"/>
    <n v="53"/>
    <n v="183.11"/>
    <n v="1"/>
    <n v="0"/>
    <n v="54"/>
    <n v="70"/>
    <n v="1"/>
    <n v="16"/>
    <n v="22.19"/>
    <n v="8.6999999999999993"/>
    <n v="17.190000000000001"/>
    <s v="4/10"/>
    <n v="0"/>
    <n v="46.5"/>
    <n v="10"/>
    <n v="0"/>
    <s v="Rajasthan Royals"/>
    <s v="Won"/>
    <s v="IPL25-M027"/>
    <s v="No"/>
    <n v="0.75"/>
  </r>
  <r>
    <s v="IPL25-P311"/>
    <x v="308"/>
    <x v="8"/>
    <x v="8"/>
    <s v="South African"/>
    <x v="0"/>
    <s v="Right-handed"/>
    <s v="Right-arm Off-spin"/>
    <n v="9"/>
    <n v="7"/>
    <n v="0"/>
    <n v="210"/>
    <n v="26"/>
    <n v="30"/>
    <n v="107.06"/>
    <n v="0"/>
    <n v="0"/>
    <n v="17"/>
    <n v="10"/>
    <n v="2"/>
    <n v="20"/>
    <n v="22.15"/>
    <n v="7.7"/>
    <n v="14.58"/>
    <s v="5/23"/>
    <n v="1"/>
    <n v="29.5"/>
    <n v="6"/>
    <n v="0"/>
    <s v="Punjab Kings"/>
    <s v="Lost"/>
    <s v="IPL25-M064"/>
    <s v="Yes"/>
    <n v="0.5"/>
  </r>
  <r>
    <s v="IPL25-P312"/>
    <x v="309"/>
    <x v="9"/>
    <x v="9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313"/>
    <x v="310"/>
    <x v="3"/>
    <x v="3"/>
    <s v="Afghan"/>
    <x v="1"/>
    <s v="Right-handed"/>
    <s v="Right-arm Off-spin"/>
    <n v="10"/>
    <n v="10"/>
    <n v="3"/>
    <n v="325"/>
    <n v="40"/>
    <n v="46.43"/>
    <n v="111.14"/>
    <n v="0"/>
    <n v="0"/>
    <n v="44"/>
    <n v="22"/>
    <n v="0"/>
    <n v="16"/>
    <n v="24.26"/>
    <n v="9.39"/>
    <n v="10.86"/>
    <s v="2/10"/>
    <n v="0"/>
    <n v="37.9"/>
    <n v="7"/>
    <n v="0"/>
    <s v="Gujarat Titans"/>
    <s v="Lost"/>
    <s v="IPL25-M005"/>
    <s v="No"/>
    <n v="4"/>
  </r>
  <r>
    <s v="IPL25-P314"/>
    <x v="311"/>
    <x v="2"/>
    <x v="2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315"/>
    <x v="312"/>
    <x v="5"/>
    <x v="5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316"/>
    <x v="313"/>
    <x v="7"/>
    <x v="7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317"/>
    <x v="314"/>
    <x v="9"/>
    <x v="9"/>
    <s v="New Zealand"/>
    <x v="1"/>
    <s v="Left-handed"/>
    <s v="Right-arm Medium"/>
    <n v="13"/>
    <n v="13"/>
    <n v="1"/>
    <n v="551"/>
    <n v="44"/>
    <n v="45.92"/>
    <n v="170.77"/>
    <n v="1"/>
    <n v="0"/>
    <n v="49"/>
    <n v="39"/>
    <n v="1"/>
    <n v="18"/>
    <n v="20.23"/>
    <n v="7.37"/>
    <n v="10.32"/>
    <s v="2/11"/>
    <n v="0"/>
    <n v="35.1"/>
    <n v="8"/>
    <n v="0"/>
    <s v="Gujarat Titans"/>
    <s v="Won"/>
    <s v="IPL25-M041"/>
    <s v="No"/>
    <n v="3"/>
  </r>
  <r>
    <s v="IPL25-P318"/>
    <x v="315"/>
    <x v="4"/>
    <x v="4"/>
    <s v="Afghan"/>
    <x v="1"/>
    <s v="Right-handed"/>
    <s v="Right-arm Off-spin"/>
    <n v="10"/>
    <n v="10"/>
    <n v="3"/>
    <n v="325"/>
    <n v="40"/>
    <n v="46.43"/>
    <n v="111.14"/>
    <n v="0"/>
    <n v="0"/>
    <n v="44"/>
    <n v="22"/>
    <n v="0"/>
    <n v="16"/>
    <n v="24.26"/>
    <n v="9.39"/>
    <n v="10.86"/>
    <s v="2/10"/>
    <n v="0"/>
    <n v="37.9"/>
    <n v="7"/>
    <n v="0"/>
    <s v="Gujarat Titans"/>
    <s v="Lost"/>
    <s v="IPL25-M005"/>
    <s v="No"/>
    <n v="4"/>
  </r>
  <r>
    <s v="IPL25-P319"/>
    <x v="316"/>
    <x v="1"/>
    <x v="1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320"/>
    <x v="317"/>
    <x v="5"/>
    <x v="5"/>
    <s v="Pakistani"/>
    <x v="1"/>
    <s v="Left-handed"/>
    <s v="Right-arm Fast"/>
    <n v="9"/>
    <n v="7"/>
    <n v="1"/>
    <n v="124"/>
    <n v="76"/>
    <n v="20.67"/>
    <n v="122.36"/>
    <n v="0"/>
    <n v="0"/>
    <n v="12"/>
    <n v="7"/>
    <n v="0"/>
    <n v="10"/>
    <n v="17.79"/>
    <n v="8.09"/>
    <n v="15.26"/>
    <s v="5/36"/>
    <n v="0"/>
    <n v="26.9"/>
    <n v="2"/>
    <n v="0"/>
    <s v="Punjab Kings"/>
    <s v="Lost"/>
    <s v="IPL25-M070"/>
    <s v="No"/>
    <n v="6"/>
  </r>
  <r>
    <s v="IPL25-P321"/>
    <x v="318"/>
    <x v="9"/>
    <x v="9"/>
    <s v="New Zealand"/>
    <x v="2"/>
    <s v="Right-handed"/>
    <s v="None"/>
    <n v="12"/>
    <n v="10"/>
    <n v="3"/>
    <n v="324"/>
    <n v="69"/>
    <n v="46.29"/>
    <n v="154.68"/>
    <n v="0"/>
    <n v="0"/>
    <n v="39"/>
    <n v="38"/>
    <n v="0"/>
    <n v="0"/>
    <s v="-"/>
    <s v="-"/>
    <s v="-"/>
    <s v="-"/>
    <n v="0"/>
    <n v="0"/>
    <n v="4"/>
    <n v="0"/>
    <s v="Delhi Capitals"/>
    <s v="Lost"/>
    <s v="IPL25-M061"/>
    <s v="No"/>
    <n v="1.5"/>
  </r>
  <r>
    <s v="IPL25-P322"/>
    <x v="319"/>
    <x v="2"/>
    <x v="2"/>
    <s v="Indian"/>
    <x v="2"/>
    <s v="Right-handed"/>
    <s v="None"/>
    <n v="11"/>
    <n v="11"/>
    <n v="3"/>
    <n v="341"/>
    <n v="30"/>
    <n v="42.62"/>
    <n v="139.97999999999999"/>
    <n v="0"/>
    <n v="0"/>
    <n v="39"/>
    <n v="40"/>
    <n v="0"/>
    <n v="0"/>
    <s v="-"/>
    <s v="-"/>
    <s v="-"/>
    <s v="-"/>
    <n v="0"/>
    <n v="0"/>
    <n v="8"/>
    <n v="0"/>
    <s v="Punjab Kings"/>
    <s v="Won"/>
    <s v="IPL25-M003"/>
    <s v="No"/>
    <n v="0.2"/>
  </r>
  <r>
    <s v="IPL25-P323"/>
    <x v="320"/>
    <x v="5"/>
    <x v="5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324"/>
    <x v="321"/>
    <x v="6"/>
    <x v="6"/>
    <s v="Bangladeshi"/>
    <x v="2"/>
    <s v="Right-handed"/>
    <s v="None"/>
    <n v="12"/>
    <n v="10"/>
    <n v="3"/>
    <n v="161"/>
    <n v="30"/>
    <n v="23"/>
    <n v="118.74"/>
    <n v="0"/>
    <n v="0"/>
    <n v="14"/>
    <n v="14"/>
    <n v="0"/>
    <n v="0"/>
    <s v="-"/>
    <s v="-"/>
    <s v="-"/>
    <s v="-"/>
    <n v="0"/>
    <n v="0"/>
    <n v="2"/>
    <n v="0"/>
    <s v="Kolkata Knight Riders"/>
    <s v="Won"/>
    <s v="IPL25-M069"/>
    <s v="No"/>
    <n v="4"/>
  </r>
  <r>
    <s v="IPL25-P325"/>
    <x v="322"/>
    <x v="8"/>
    <x v="8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326"/>
    <x v="323"/>
    <x v="6"/>
    <x v="6"/>
    <s v="South African"/>
    <x v="1"/>
    <s v="Right-handed"/>
    <s v="Left-arm Medium"/>
    <n v="14"/>
    <n v="13"/>
    <n v="3"/>
    <n v="420"/>
    <n v="103"/>
    <n v="42"/>
    <n v="156.47999999999999"/>
    <n v="0"/>
    <n v="0"/>
    <n v="33"/>
    <n v="18"/>
    <n v="0"/>
    <n v="18"/>
    <n v="21.83"/>
    <n v="6.68"/>
    <n v="17.52"/>
    <s v="4/13"/>
    <n v="0"/>
    <n v="48.5"/>
    <n v="6"/>
    <n v="0"/>
    <s v="Royal Challengers Bengaluru"/>
    <s v="Won"/>
    <s v="IPL25-M060"/>
    <s v="No"/>
    <n v="0.4"/>
  </r>
  <r>
    <s v="IPL25-P327"/>
    <x v="324"/>
    <x v="4"/>
    <x v="4"/>
    <s v="Indian"/>
    <x v="1"/>
    <s v="Left-handed"/>
    <s v="Right-arm Fast"/>
    <n v="8"/>
    <n v="6"/>
    <n v="2"/>
    <n v="186"/>
    <n v="37"/>
    <n v="46.5"/>
    <n v="132.41"/>
    <n v="0"/>
    <n v="0"/>
    <n v="19"/>
    <n v="16"/>
    <n v="0"/>
    <n v="15"/>
    <n v="21.6"/>
    <n v="9.6"/>
    <n v="10.41"/>
    <s v="2/16"/>
    <n v="0"/>
    <n v="29.5"/>
    <n v="4"/>
    <n v="0"/>
    <s v="Chennai Super Kings"/>
    <s v="Won"/>
    <s v="IPL25-M042"/>
    <s v="No"/>
    <n v="0.4"/>
  </r>
  <r>
    <s v="IPL25-P328"/>
    <x v="325"/>
    <x v="3"/>
    <x v="3"/>
    <s v="English"/>
    <x v="0"/>
    <s v="Right-handed"/>
    <s v="Right-arm Medium"/>
    <n v="9"/>
    <n v="9"/>
    <n v="3"/>
    <n v="169"/>
    <n v="34"/>
    <n v="28.17"/>
    <n v="99.05"/>
    <n v="0"/>
    <n v="0"/>
    <n v="14"/>
    <n v="8"/>
    <n v="0"/>
    <n v="3"/>
    <n v="17.690000000000001"/>
    <n v="7.72"/>
    <n v="11.92"/>
    <s v="3/26"/>
    <n v="0"/>
    <n v="29.1"/>
    <n v="5"/>
    <n v="0"/>
    <s v="Sunrisers Hyderabad"/>
    <s v="Won"/>
    <s v="IPL25-M017"/>
    <s v="No"/>
    <n v="2"/>
  </r>
  <r>
    <s v="IPL25-P329"/>
    <x v="326"/>
    <x v="3"/>
    <x v="3"/>
    <s v="Indian"/>
    <x v="0"/>
    <s v="Left-handed"/>
    <s v="Left-arm Medium"/>
    <n v="12"/>
    <n v="11"/>
    <n v="0"/>
    <n v="98"/>
    <n v="18"/>
    <n v="8.91"/>
    <n v="129.94999999999999"/>
    <n v="0"/>
    <n v="0"/>
    <n v="8"/>
    <n v="4"/>
    <n v="2"/>
    <n v="21"/>
    <n v="19.3"/>
    <n v="8.65"/>
    <n v="15.99"/>
    <s v="4/14"/>
    <n v="0"/>
    <n v="40.9"/>
    <n v="5"/>
    <n v="0"/>
    <s v="Kolkata Knight Riders"/>
    <s v="Lost"/>
    <s v="IPL25-M026"/>
    <s v="No"/>
    <n v="2"/>
  </r>
  <r>
    <s v="IPL25-P330"/>
    <x v="327"/>
    <x v="1"/>
    <x v="1"/>
    <s v="Indian"/>
    <x v="1"/>
    <s v="Right-handed"/>
    <s v="Right-arm Fast"/>
    <n v="12"/>
    <n v="11"/>
    <n v="1"/>
    <n v="180"/>
    <n v="54"/>
    <n v="18"/>
    <n v="184.52"/>
    <n v="0"/>
    <n v="0"/>
    <n v="22"/>
    <n v="20"/>
    <n v="0"/>
    <n v="9"/>
    <n v="23.67"/>
    <n v="6.84"/>
    <n v="21.64"/>
    <s v="5/15"/>
    <n v="0"/>
    <n v="41.9"/>
    <n v="12"/>
    <n v="0"/>
    <s v="Lucknow Super Giants"/>
    <s v="Lost"/>
    <s v="IPL25-M036"/>
    <s v="No"/>
    <n v="18"/>
  </r>
  <r>
    <s v="IPL25-P331"/>
    <x v="328"/>
    <x v="3"/>
    <x v="3"/>
    <s v="Indian"/>
    <x v="2"/>
    <s v="Right-handed"/>
    <s v="None"/>
    <n v="11"/>
    <n v="9"/>
    <n v="2"/>
    <n v="280"/>
    <n v="69"/>
    <n v="40"/>
    <n v="133.51"/>
    <n v="0"/>
    <n v="0"/>
    <n v="30"/>
    <n v="27"/>
    <n v="0"/>
    <n v="0"/>
    <s v="-"/>
    <s v="-"/>
    <s v="-"/>
    <s v="-"/>
    <n v="0"/>
    <n v="0"/>
    <n v="11"/>
    <n v="0"/>
    <s v="Gujarat Titans"/>
    <s v="Won"/>
    <s v="IPL25-M041"/>
    <s v="No"/>
    <n v="6"/>
  </r>
  <r>
    <s v="IPL25-P332"/>
    <x v="329"/>
    <x v="1"/>
    <x v="1"/>
    <s v="Afghan"/>
    <x v="0"/>
    <s v="Right-handed"/>
    <s v="Left-arm Medium"/>
    <n v="11"/>
    <n v="11"/>
    <n v="0"/>
    <n v="180"/>
    <n v="24"/>
    <n v="16.36"/>
    <n v="109.47"/>
    <n v="0"/>
    <n v="0"/>
    <n v="15"/>
    <n v="9"/>
    <n v="0"/>
    <n v="15"/>
    <n v="27.44"/>
    <n v="8.08"/>
    <n v="11.52"/>
    <s v="3/23"/>
    <n v="0"/>
    <n v="31.3"/>
    <n v="5"/>
    <n v="0"/>
    <s v="Kolkata Knight Riders"/>
    <s v="Won"/>
    <s v="IPL25-M005"/>
    <s v="No"/>
    <n v="3"/>
  </r>
  <r>
    <s v="IPL25-P333"/>
    <x v="330"/>
    <x v="3"/>
    <x v="3"/>
    <s v="Australian"/>
    <x v="1"/>
    <s v="Right-handed"/>
    <s v="Right-arm Off-spin"/>
    <n v="12"/>
    <n v="10"/>
    <n v="3"/>
    <n v="129"/>
    <n v="81"/>
    <n v="18.43"/>
    <n v="125.06"/>
    <n v="0"/>
    <n v="0"/>
    <n v="13"/>
    <n v="11"/>
    <n v="0"/>
    <n v="18"/>
    <n v="16.510000000000002"/>
    <n v="9.75"/>
    <n v="16.43"/>
    <s v="4/26"/>
    <n v="0"/>
    <n v="32.200000000000003"/>
    <n v="10"/>
    <n v="0"/>
    <s v="Rajasthan Royals"/>
    <s v="Won"/>
    <s v="IPL25-M019"/>
    <s v="No"/>
    <n v="5"/>
  </r>
  <r>
    <s v="IPL25-P334"/>
    <x v="331"/>
    <x v="8"/>
    <x v="8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335"/>
    <x v="332"/>
    <x v="8"/>
    <x v="8"/>
    <s v="New Zealand"/>
    <x v="1"/>
    <s v="Left-handed"/>
    <s v="Right-arm Medium"/>
    <n v="13"/>
    <n v="13"/>
    <n v="1"/>
    <n v="551"/>
    <n v="44"/>
    <n v="45.92"/>
    <n v="170.77"/>
    <n v="1"/>
    <n v="0"/>
    <n v="49"/>
    <n v="39"/>
    <n v="1"/>
    <n v="18"/>
    <n v="20.23"/>
    <n v="7.37"/>
    <n v="10.32"/>
    <s v="2/11"/>
    <n v="0"/>
    <n v="35.1"/>
    <n v="8"/>
    <n v="0"/>
    <s v="Gujarat Titans"/>
    <s v="Won"/>
    <s v="IPL25-M041"/>
    <s v="No"/>
    <n v="3"/>
  </r>
  <r>
    <s v="IPL25-P336"/>
    <x v="333"/>
    <x v="1"/>
    <x v="1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337"/>
    <x v="334"/>
    <x v="0"/>
    <x v="0"/>
    <s v="English"/>
    <x v="3"/>
    <s v="Left-handed"/>
    <s v="None"/>
    <n v="8"/>
    <n v="8"/>
    <n v="0"/>
    <n v="216"/>
    <n v="36"/>
    <n v="27"/>
    <n v="169.85"/>
    <n v="0"/>
    <n v="0"/>
    <n v="21"/>
    <n v="23"/>
    <n v="0"/>
    <n v="0"/>
    <s v="-"/>
    <s v="-"/>
    <s v="-"/>
    <s v="-"/>
    <n v="0"/>
    <n v="0"/>
    <n v="6"/>
    <n v="2"/>
    <s v="Mumbai Indians"/>
    <s v="Won"/>
    <s v="IPL25-M032"/>
    <s v="No"/>
    <n v="3"/>
  </r>
  <r>
    <s v="IPL25-P338"/>
    <x v="335"/>
    <x v="9"/>
    <x v="9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339"/>
    <x v="336"/>
    <x v="8"/>
    <x v="8"/>
    <s v="Indian"/>
    <x v="2"/>
    <s v="Left-handed"/>
    <s v="None"/>
    <n v="11"/>
    <n v="10"/>
    <n v="1"/>
    <n v="382"/>
    <n v="33"/>
    <n v="42.44"/>
    <n v="176.49"/>
    <n v="0"/>
    <n v="0"/>
    <n v="47"/>
    <n v="24"/>
    <n v="0"/>
    <n v="0"/>
    <s v="-"/>
    <s v="-"/>
    <s v="-"/>
    <s v="-"/>
    <n v="0"/>
    <n v="0"/>
    <n v="7"/>
    <n v="0"/>
    <s v="Rajasthan Royals"/>
    <s v="Lost"/>
    <s v="IPL25-M039"/>
    <s v="Yes"/>
    <n v="0.5"/>
  </r>
  <r>
    <s v="IPL25-P340"/>
    <x v="337"/>
    <x v="8"/>
    <x v="8"/>
    <s v="Indian"/>
    <x v="1"/>
    <s v="Left-handed"/>
    <s v="Left-arm Fast"/>
    <n v="10"/>
    <n v="8"/>
    <n v="1"/>
    <n v="248"/>
    <n v="53"/>
    <n v="35.43"/>
    <n v="181.57"/>
    <n v="0"/>
    <n v="0"/>
    <n v="29"/>
    <n v="29"/>
    <n v="0"/>
    <n v="14"/>
    <n v="25"/>
    <n v="10.06"/>
    <n v="18.3"/>
    <s v="5/30"/>
    <n v="0"/>
    <n v="33.4"/>
    <n v="9"/>
    <n v="0"/>
    <s v="Lucknow Super Giants"/>
    <s v="Lost"/>
    <s v="IPL25-M062"/>
    <s v="No"/>
    <n v="6"/>
  </r>
  <r>
    <s v="IPL25-P341"/>
    <x v="338"/>
    <x v="4"/>
    <x v="4"/>
    <s v="English"/>
    <x v="0"/>
    <s v="Left-handed"/>
    <s v="Right-arm Fast"/>
    <n v="10"/>
    <n v="9"/>
    <n v="3"/>
    <n v="233"/>
    <n v="19"/>
    <n v="38.83"/>
    <n v="98.06"/>
    <n v="0"/>
    <n v="0"/>
    <n v="19"/>
    <n v="11"/>
    <n v="2"/>
    <n v="16"/>
    <n v="29.46"/>
    <n v="9.92"/>
    <n v="15.9"/>
    <s v="4/20"/>
    <n v="0"/>
    <n v="34"/>
    <n v="4"/>
    <n v="0"/>
    <s v="Delhi Capitals"/>
    <s v="Won"/>
    <s v="IPL25-M007"/>
    <s v="No"/>
    <n v="18"/>
  </r>
  <r>
    <s v="IPL25-P342"/>
    <x v="339"/>
    <x v="7"/>
    <x v="7"/>
    <s v="Australian"/>
    <x v="2"/>
    <s v="Left-handed"/>
    <s v="None"/>
    <n v="14"/>
    <n v="13"/>
    <n v="1"/>
    <n v="540"/>
    <n v="100"/>
    <n v="45"/>
    <n v="178"/>
    <n v="1"/>
    <n v="0"/>
    <n v="66"/>
    <n v="61"/>
    <n v="0"/>
    <n v="0"/>
    <s v="-"/>
    <s v="-"/>
    <s v="-"/>
    <s v="-"/>
    <n v="0"/>
    <n v="0"/>
    <n v="4"/>
    <n v="0"/>
    <s v="Gujarat Titans"/>
    <s v="Lost"/>
    <s v="IPL25-M018"/>
    <s v="No"/>
    <n v="18"/>
  </r>
  <r>
    <s v="IPL25-P343"/>
    <x v="340"/>
    <x v="7"/>
    <x v="7"/>
    <s v="Indian"/>
    <x v="1"/>
    <s v="Right-handed"/>
    <s v="Left-arm Medium"/>
    <n v="8"/>
    <n v="6"/>
    <n v="3"/>
    <n v="122"/>
    <n v="102"/>
    <n v="40.67"/>
    <n v="167.6"/>
    <n v="0"/>
    <n v="0"/>
    <n v="14"/>
    <n v="13"/>
    <n v="0"/>
    <n v="3"/>
    <n v="17.670000000000002"/>
    <n v="6.57"/>
    <n v="13.32"/>
    <s v="2/41"/>
    <n v="0"/>
    <n v="29.9"/>
    <n v="8"/>
    <n v="0"/>
    <s v="Sunrisers Hyderabad"/>
    <s v="Won"/>
    <s v="IPL25-M026"/>
    <s v="Yes"/>
    <n v="18"/>
  </r>
  <r>
    <s v="IPL25-P344"/>
    <x v="341"/>
    <x v="9"/>
    <x v="9"/>
    <s v="Indian"/>
    <x v="2"/>
    <s v="Right-handed"/>
    <s v="None"/>
    <n v="8"/>
    <n v="7"/>
    <n v="0"/>
    <n v="381"/>
    <n v="108"/>
    <n v="54.43"/>
    <n v="111.89"/>
    <n v="0"/>
    <n v="0"/>
    <n v="38"/>
    <n v="40"/>
    <n v="0"/>
    <n v="0"/>
    <s v="-"/>
    <s v="-"/>
    <s v="-"/>
    <s v="-"/>
    <n v="0"/>
    <n v="0"/>
    <n v="2"/>
    <n v="0"/>
    <s v="Kolkata Knight Riders"/>
    <s v="Lost"/>
    <s v="IPL25-M025"/>
    <s v="No"/>
    <n v="3"/>
  </r>
  <r>
    <s v="IPL25-P345"/>
    <x v="342"/>
    <x v="0"/>
    <x v="0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346"/>
    <x v="343"/>
    <x v="8"/>
    <x v="8"/>
    <s v="Indian"/>
    <x v="2"/>
    <s v="Left-handed"/>
    <s v="None"/>
    <n v="11"/>
    <n v="10"/>
    <n v="1"/>
    <n v="162"/>
    <n v="86"/>
    <n v="18"/>
    <n v="163.77000000000001"/>
    <n v="0"/>
    <n v="0"/>
    <n v="22"/>
    <n v="6"/>
    <n v="0"/>
    <n v="0"/>
    <s v="-"/>
    <s v="-"/>
    <s v="-"/>
    <s v="-"/>
    <n v="0"/>
    <n v="0"/>
    <n v="2"/>
    <n v="0"/>
    <s v="Mumbai Indians"/>
    <s v="Won"/>
    <s v="IPL25-M064"/>
    <s v="No"/>
    <n v="5"/>
  </r>
  <r>
    <s v="IPL25-P347"/>
    <x v="344"/>
    <x v="2"/>
    <x v="2"/>
    <s v="Indian"/>
    <x v="1"/>
    <s v="Left-handed"/>
    <s v="Right-arm Fast"/>
    <n v="11"/>
    <n v="10"/>
    <n v="3"/>
    <n v="128"/>
    <n v="113"/>
    <n v="18.29"/>
    <n v="159.63999999999999"/>
    <n v="0"/>
    <n v="0"/>
    <n v="11"/>
    <n v="7"/>
    <n v="0"/>
    <n v="13"/>
    <n v="25.11"/>
    <n v="9.69"/>
    <n v="15.6"/>
    <s v="3/34"/>
    <n v="0"/>
    <n v="41.5"/>
    <n v="5"/>
    <n v="0"/>
    <s v="Mumbai Indians"/>
    <s v="Lost"/>
    <s v="IPL25-M058"/>
    <s v="No"/>
    <n v="0.75"/>
  </r>
  <r>
    <s v="IPL25-P348"/>
    <x v="345"/>
    <x v="2"/>
    <x v="2"/>
    <s v="Indian"/>
    <x v="2"/>
    <s v="Left-handed"/>
    <s v="None"/>
    <n v="12"/>
    <n v="11"/>
    <n v="1"/>
    <n v="461"/>
    <n v="77"/>
    <n v="46.1"/>
    <n v="115.23"/>
    <n v="0"/>
    <n v="0"/>
    <n v="40"/>
    <n v="35"/>
    <n v="0"/>
    <n v="0"/>
    <s v="-"/>
    <s v="-"/>
    <s v="-"/>
    <s v="-"/>
    <n v="0"/>
    <n v="0"/>
    <n v="2"/>
    <n v="0"/>
    <s v="Lucknow Super Giants"/>
    <s v="Lost"/>
    <s v="IPL25-M024"/>
    <s v="No"/>
    <n v="18"/>
  </r>
  <r>
    <s v="IPL25-P349"/>
    <x v="346"/>
    <x v="5"/>
    <x v="5"/>
    <s v="Afghan"/>
    <x v="2"/>
    <s v="Right-handed"/>
    <s v="None"/>
    <n v="14"/>
    <n v="12"/>
    <n v="1"/>
    <n v="580"/>
    <n v="64"/>
    <n v="52.73"/>
    <n v="127.09"/>
    <n v="0"/>
    <n v="0"/>
    <n v="46"/>
    <n v="33"/>
    <n v="0"/>
    <n v="0"/>
    <s v="-"/>
    <s v="-"/>
    <s v="-"/>
    <s v="-"/>
    <n v="0"/>
    <n v="0"/>
    <n v="4"/>
    <n v="0"/>
    <s v="Chennai Super Kings"/>
    <s v="Lost"/>
    <s v="IPL25-M022"/>
    <s v="No"/>
    <n v="4"/>
  </r>
  <r>
    <s v="IPL25-P350"/>
    <x v="347"/>
    <x v="5"/>
    <x v="5"/>
    <s v="Indian"/>
    <x v="1"/>
    <s v="Left-handed"/>
    <s v="Right-arm Leg-spin"/>
    <n v="13"/>
    <n v="13"/>
    <n v="0"/>
    <n v="687"/>
    <n v="42"/>
    <n v="52.85"/>
    <n v="167.89"/>
    <n v="1"/>
    <n v="0"/>
    <n v="74"/>
    <n v="38"/>
    <n v="1"/>
    <n v="22"/>
    <n v="15.25"/>
    <n v="7.43"/>
    <n v="12.26"/>
    <s v="2/38"/>
    <n v="0"/>
    <n v="43.8"/>
    <n v="3"/>
    <n v="0"/>
    <s v="Kolkata Knight Riders"/>
    <s v="Lost"/>
    <s v="IPL25-M023"/>
    <s v="No"/>
    <n v="6"/>
  </r>
  <r>
    <s v="IPL25-P351"/>
    <x v="348"/>
    <x v="8"/>
    <x v="8"/>
    <s v="Bangladeshi"/>
    <x v="1"/>
    <s v="Right-handed"/>
    <s v="Right-arm Fast"/>
    <n v="9"/>
    <n v="8"/>
    <n v="0"/>
    <n v="225"/>
    <n v="53"/>
    <n v="28.12"/>
    <n v="144.66"/>
    <n v="0"/>
    <n v="0"/>
    <n v="21"/>
    <n v="9"/>
    <n v="0"/>
    <n v="23"/>
    <n v="17.63"/>
    <n v="9.85"/>
    <n v="16.239999999999998"/>
    <s v="3/18"/>
    <n v="0"/>
    <n v="30.2"/>
    <n v="6"/>
    <n v="0"/>
    <s v="Lucknow Super Giants"/>
    <s v="Lost"/>
    <s v="IPL25-M066"/>
    <s v="No"/>
    <n v="4"/>
  </r>
  <r>
    <s v="IPL25-P352"/>
    <x v="349"/>
    <x v="5"/>
    <x v="5"/>
    <s v="Bangladeshi"/>
    <x v="1"/>
    <s v="Left-handed"/>
    <s v="Right-arm Leg-spin"/>
    <n v="10"/>
    <n v="10"/>
    <n v="3"/>
    <n v="207"/>
    <n v="46"/>
    <n v="29.57"/>
    <n v="155.16999999999999"/>
    <n v="0"/>
    <n v="0"/>
    <n v="22"/>
    <n v="11"/>
    <n v="0"/>
    <n v="2"/>
    <n v="17.36"/>
    <n v="9.74"/>
    <n v="18.89"/>
    <s v="2/37"/>
    <n v="0"/>
    <n v="25.7"/>
    <n v="6"/>
    <n v="0"/>
    <s v="Sunrisers Hyderabad"/>
    <s v="Won"/>
    <s v="IPL25-M026"/>
    <s v="No"/>
    <n v="0.4"/>
  </r>
  <r>
    <s v="IPL25-P353"/>
    <x v="350"/>
    <x v="4"/>
    <x v="4"/>
    <s v="Indian"/>
    <x v="1"/>
    <s v="Left-handed"/>
    <s v="Right-arm Fast"/>
    <n v="14"/>
    <n v="14"/>
    <n v="1"/>
    <n v="254"/>
    <n v="81"/>
    <n v="19.54"/>
    <n v="182.1"/>
    <n v="0"/>
    <n v="0"/>
    <n v="28"/>
    <n v="28"/>
    <n v="1"/>
    <n v="8"/>
    <n v="19.739999999999998"/>
    <n v="6.81"/>
    <n v="19.8"/>
    <s v="3/31"/>
    <n v="0"/>
    <n v="41.3"/>
    <n v="11"/>
    <n v="0"/>
    <s v="Gujarat Titans"/>
    <s v="Lost"/>
    <s v="IPL25-M017"/>
    <s v="No"/>
    <n v="6"/>
  </r>
  <r>
    <s v="IPL25-P354"/>
    <x v="351"/>
    <x v="1"/>
    <x v="1"/>
    <s v="Indian"/>
    <x v="0"/>
    <s v="Left-handed"/>
    <s v="Left-arm Medium"/>
    <n v="12"/>
    <n v="10"/>
    <n v="1"/>
    <n v="25"/>
    <n v="7"/>
    <n v="2.78"/>
    <n v="102.28"/>
    <n v="0"/>
    <n v="0"/>
    <n v="2"/>
    <n v="1"/>
    <n v="2"/>
    <n v="18"/>
    <n v="20.57"/>
    <n v="9.49"/>
    <n v="16.59"/>
    <s v="5/42"/>
    <n v="0"/>
    <n v="43"/>
    <n v="11"/>
    <n v="0"/>
    <s v="Royal Challengers Bengaluru"/>
    <s v="Lost"/>
    <s v="IPL25-M013"/>
    <s v="No"/>
    <n v="0.75"/>
  </r>
  <r>
    <s v="IPL25-P355"/>
    <x v="352"/>
    <x v="4"/>
    <x v="4"/>
    <s v="West Indian"/>
    <x v="2"/>
    <s v="Left-handed"/>
    <s v="None"/>
    <n v="8"/>
    <n v="7"/>
    <n v="2"/>
    <n v="238"/>
    <n v="50"/>
    <n v="47.6"/>
    <n v="143.96"/>
    <n v="0"/>
    <n v="0"/>
    <n v="30"/>
    <n v="9"/>
    <n v="0"/>
    <n v="0"/>
    <s v="-"/>
    <s v="-"/>
    <s v="-"/>
    <s v="-"/>
    <n v="0"/>
    <n v="0"/>
    <n v="2"/>
    <n v="0"/>
    <s v="Delhi Capitals"/>
    <s v="Lost"/>
    <s v="IPL25-M004"/>
    <s v="No"/>
    <n v="10"/>
  </r>
  <r>
    <s v="IPL25-P356"/>
    <x v="353"/>
    <x v="9"/>
    <x v="9"/>
    <s v="South African"/>
    <x v="0"/>
    <s v="Right-handed"/>
    <s v="Right-arm Off-spin"/>
    <n v="9"/>
    <n v="7"/>
    <n v="0"/>
    <n v="210"/>
    <n v="26"/>
    <n v="30"/>
    <n v="107.06"/>
    <n v="0"/>
    <n v="0"/>
    <n v="17"/>
    <n v="10"/>
    <n v="2"/>
    <n v="20"/>
    <n v="22.15"/>
    <n v="7.7"/>
    <n v="14.58"/>
    <s v="5/23"/>
    <n v="1"/>
    <n v="29.5"/>
    <n v="6"/>
    <n v="0"/>
    <s v="Punjab Kings"/>
    <s v="Lost"/>
    <s v="IPL25-M064"/>
    <s v="Yes"/>
    <n v="0.5"/>
  </r>
  <r>
    <s v="IPL25-P357"/>
    <x v="354"/>
    <x v="9"/>
    <x v="9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358"/>
    <x v="355"/>
    <x v="9"/>
    <x v="9"/>
    <s v="South African"/>
    <x v="1"/>
    <s v="Right-handed"/>
    <s v="Right-arm Medium"/>
    <n v="14"/>
    <n v="12"/>
    <n v="0"/>
    <n v="370"/>
    <n v="116"/>
    <n v="30.83"/>
    <n v="176.54"/>
    <n v="0"/>
    <n v="0"/>
    <n v="36"/>
    <n v="18"/>
    <n v="1"/>
    <n v="8"/>
    <n v="21.7"/>
    <n v="7.75"/>
    <n v="14.72"/>
    <s v="2/10"/>
    <n v="0"/>
    <n v="43.8"/>
    <n v="2"/>
    <n v="0"/>
    <s v="Gujarat Titans"/>
    <s v="Lost"/>
    <s v="IPL25-M018"/>
    <s v="No"/>
    <n v="4"/>
  </r>
  <r>
    <s v="IPL25-P359"/>
    <x v="356"/>
    <x v="2"/>
    <x v="2"/>
    <s v="New Zealand"/>
    <x v="1"/>
    <s v="Left-handed"/>
    <s v="Right-arm Medium"/>
    <n v="13"/>
    <n v="13"/>
    <n v="1"/>
    <n v="551"/>
    <n v="44"/>
    <n v="45.92"/>
    <n v="170.77"/>
    <n v="1"/>
    <n v="0"/>
    <n v="49"/>
    <n v="39"/>
    <n v="1"/>
    <n v="18"/>
    <n v="20.23"/>
    <n v="7.37"/>
    <n v="10.32"/>
    <s v="2/11"/>
    <n v="0"/>
    <n v="35.1"/>
    <n v="8"/>
    <n v="0"/>
    <s v="Gujarat Titans"/>
    <s v="Won"/>
    <s v="IPL25-M041"/>
    <s v="No"/>
    <n v="3"/>
  </r>
  <r>
    <s v="IPL25-P360"/>
    <x v="357"/>
    <x v="4"/>
    <x v="4"/>
    <s v="Indian"/>
    <x v="2"/>
    <s v="Left-handed"/>
    <s v="None"/>
    <n v="12"/>
    <n v="11"/>
    <n v="1"/>
    <n v="461"/>
    <n v="77"/>
    <n v="46.1"/>
    <n v="115.23"/>
    <n v="0"/>
    <n v="0"/>
    <n v="40"/>
    <n v="35"/>
    <n v="0"/>
    <n v="0"/>
    <s v="-"/>
    <s v="-"/>
    <s v="-"/>
    <s v="-"/>
    <n v="0"/>
    <n v="0"/>
    <n v="2"/>
    <n v="0"/>
    <s v="Lucknow Super Giants"/>
    <s v="Lost"/>
    <s v="IPL25-M024"/>
    <s v="No"/>
    <n v="18"/>
  </r>
  <r>
    <s v="IPL25-P361"/>
    <x v="358"/>
    <x v="7"/>
    <x v="7"/>
    <s v="Indian"/>
    <x v="1"/>
    <s v="Right-handed"/>
    <s v="Left-arm Spin"/>
    <n v="11"/>
    <n v="10"/>
    <n v="3"/>
    <n v="187"/>
    <n v="60"/>
    <n v="26.71"/>
    <n v="153.07"/>
    <n v="0"/>
    <n v="0"/>
    <n v="24"/>
    <n v="11"/>
    <n v="0"/>
    <n v="5"/>
    <n v="15.55"/>
    <n v="10.28"/>
    <n v="16.78"/>
    <s v="5/24"/>
    <n v="0"/>
    <n v="30.9"/>
    <n v="9"/>
    <n v="0"/>
    <s v="Royal Challengers Bengaluru"/>
    <s v="Lost"/>
    <s v="IPL25-M043"/>
    <s v="No"/>
    <n v="0.4"/>
  </r>
  <r>
    <s v="IPL25-P362"/>
    <x v="359"/>
    <x v="0"/>
    <x v="0"/>
    <s v="Indian"/>
    <x v="1"/>
    <s v="Left-handed"/>
    <s v="Left-arm Fast"/>
    <n v="10"/>
    <n v="8"/>
    <n v="1"/>
    <n v="248"/>
    <n v="53"/>
    <n v="35.43"/>
    <n v="181.57"/>
    <n v="0"/>
    <n v="0"/>
    <n v="29"/>
    <n v="29"/>
    <n v="0"/>
    <n v="14"/>
    <n v="25"/>
    <n v="10.06"/>
    <n v="18.3"/>
    <s v="5/30"/>
    <n v="0"/>
    <n v="33.4"/>
    <n v="9"/>
    <n v="0"/>
    <s v="Lucknow Super Giants"/>
    <s v="Lost"/>
    <s v="IPL25-M062"/>
    <s v="No"/>
    <n v="6"/>
  </r>
  <r>
    <s v="IPL25-P363"/>
    <x v="360"/>
    <x v="3"/>
    <x v="3"/>
    <s v="New Zealand"/>
    <x v="2"/>
    <s v="Right-handed"/>
    <s v="None"/>
    <n v="11"/>
    <n v="9"/>
    <n v="2"/>
    <n v="154"/>
    <n v="35"/>
    <n v="22"/>
    <n v="163.15"/>
    <n v="0"/>
    <n v="0"/>
    <n v="20"/>
    <n v="6"/>
    <n v="0"/>
    <n v="0"/>
    <s v="-"/>
    <s v="-"/>
    <s v="-"/>
    <s v="-"/>
    <n v="0"/>
    <n v="0"/>
    <n v="3"/>
    <n v="0"/>
    <s v="Royal Challengers Bengaluru"/>
    <s v="Won"/>
    <s v="IPL25-M057"/>
    <s v="No"/>
    <n v="15"/>
  </r>
  <r>
    <s v="IPL25-P364"/>
    <x v="361"/>
    <x v="5"/>
    <x v="5"/>
    <s v="Pakistani"/>
    <x v="2"/>
    <s v="Left-handed"/>
    <s v="None"/>
    <n v="10"/>
    <n v="8"/>
    <n v="3"/>
    <n v="261"/>
    <n v="65"/>
    <n v="52.2"/>
    <n v="128.86000000000001"/>
    <n v="0"/>
    <n v="0"/>
    <n v="35"/>
    <n v="13"/>
    <n v="0"/>
    <n v="0"/>
    <s v="-"/>
    <s v="-"/>
    <s v="-"/>
    <s v="-"/>
    <n v="0"/>
    <n v="0"/>
    <n v="3"/>
    <n v="0"/>
    <s v="Gujarat Titans"/>
    <s v="Won"/>
    <s v="IPL25-M022"/>
    <s v="No"/>
    <n v="0.4"/>
  </r>
  <r>
    <s v="IPL25-P365"/>
    <x v="362"/>
    <x v="4"/>
    <x v="4"/>
    <s v="South African"/>
    <x v="2"/>
    <s v="Left-handed"/>
    <s v="None"/>
    <n v="13"/>
    <n v="12"/>
    <n v="3"/>
    <n v="175"/>
    <n v="91"/>
    <n v="19.440000000000001"/>
    <n v="152.94999999999999"/>
    <n v="0"/>
    <n v="0"/>
    <n v="17"/>
    <n v="10"/>
    <n v="0"/>
    <n v="0"/>
    <s v="-"/>
    <s v="-"/>
    <s v="-"/>
    <s v="-"/>
    <n v="0"/>
    <n v="0"/>
    <n v="11"/>
    <n v="0"/>
    <s v="Kolkata Knight Riders"/>
    <s v="Lost"/>
    <s v="IPL25-M025"/>
    <s v="No"/>
    <n v="7.5"/>
  </r>
  <r>
    <s v="IPL25-P366"/>
    <x v="363"/>
    <x v="5"/>
    <x v="5"/>
    <s v="Australian"/>
    <x v="0"/>
    <s v="Right-handed"/>
    <s v="Left-arm Medium"/>
    <n v="11"/>
    <n v="11"/>
    <n v="0"/>
    <n v="282"/>
    <n v="36"/>
    <n v="25.64"/>
    <n v="126.65"/>
    <n v="0"/>
    <n v="0"/>
    <n v="23"/>
    <n v="14"/>
    <n v="1"/>
    <n v="12"/>
    <n v="15"/>
    <n v="8.02"/>
    <n v="10.6"/>
    <s v="5/22"/>
    <n v="0"/>
    <n v="40.4"/>
    <n v="4"/>
    <n v="0"/>
    <s v="Mumbai Indians"/>
    <s v="Won"/>
    <s v="IPL25-M020"/>
    <s v="No"/>
    <n v="7.5"/>
  </r>
  <r>
    <s v="IPL25-P367"/>
    <x v="364"/>
    <x v="6"/>
    <x v="6"/>
    <s v="Indian"/>
    <x v="1"/>
    <s v="Right-handed"/>
    <s v="Left-arm Fast"/>
    <n v="13"/>
    <n v="12"/>
    <n v="1"/>
    <n v="523"/>
    <n v="88"/>
    <n v="47.55"/>
    <n v="129.71"/>
    <n v="1"/>
    <n v="0"/>
    <n v="61"/>
    <n v="34"/>
    <n v="0"/>
    <n v="12"/>
    <n v="22.7"/>
    <n v="8.8000000000000007"/>
    <n v="17.95"/>
    <s v="5/39"/>
    <n v="0"/>
    <n v="46.7"/>
    <n v="10"/>
    <n v="0"/>
    <s v="Punjab Kings"/>
    <s v="Lost"/>
    <s v="IPL25-M070"/>
    <s v="No"/>
    <n v="5"/>
  </r>
  <r>
    <s v="IPL25-P368"/>
    <x v="365"/>
    <x v="6"/>
    <x v="6"/>
    <s v="Bangladeshi"/>
    <x v="0"/>
    <s v="Right-handed"/>
    <s v="Left-arm Medium"/>
    <n v="10"/>
    <n v="8"/>
    <n v="3"/>
    <n v="220"/>
    <n v="27"/>
    <n v="44"/>
    <n v="122.89"/>
    <n v="0"/>
    <n v="0"/>
    <n v="18"/>
    <n v="11"/>
    <n v="2"/>
    <n v="11"/>
    <n v="24.8"/>
    <n v="10.119999999999999"/>
    <n v="11.64"/>
    <s v="5/21"/>
    <n v="0"/>
    <n v="37.9"/>
    <n v="5"/>
    <n v="0"/>
    <s v="Royal Challengers Bengaluru"/>
    <s v="Won"/>
    <s v="IPL25-M060"/>
    <s v="No"/>
    <n v="0.2"/>
  </r>
  <r>
    <s v="IPL25-P369"/>
    <x v="366"/>
    <x v="2"/>
    <x v="2"/>
    <s v="Indian"/>
    <x v="0"/>
    <s v="Left-handed"/>
    <s v="Left-arm Medium"/>
    <n v="12"/>
    <n v="10"/>
    <n v="0"/>
    <n v="21"/>
    <n v="33"/>
    <n v="2.1"/>
    <n v="121.91"/>
    <n v="0"/>
    <n v="0"/>
    <n v="1"/>
    <n v="1"/>
    <n v="3"/>
    <n v="4"/>
    <n v="26.93"/>
    <n v="8.42"/>
    <n v="10.94"/>
    <s v="3/36"/>
    <n v="0"/>
    <n v="33.799999999999997"/>
    <n v="9"/>
    <n v="0"/>
    <s v="Delhi Capitals"/>
    <s v="Won"/>
    <s v="IPL25-M053"/>
    <s v="No"/>
    <n v="18"/>
  </r>
  <r>
    <s v="IPL25-P370"/>
    <x v="367"/>
    <x v="2"/>
    <x v="2"/>
    <s v="South African"/>
    <x v="0"/>
    <s v="Right-handed"/>
    <s v="Right-arm Off-spin"/>
    <n v="9"/>
    <n v="7"/>
    <n v="0"/>
    <n v="210"/>
    <n v="26"/>
    <n v="30"/>
    <n v="107.06"/>
    <n v="0"/>
    <n v="0"/>
    <n v="17"/>
    <n v="10"/>
    <n v="2"/>
    <n v="20"/>
    <n v="22.15"/>
    <n v="7.7"/>
    <n v="14.58"/>
    <s v="5/23"/>
    <n v="1"/>
    <n v="29.5"/>
    <n v="6"/>
    <n v="0"/>
    <s v="Punjab Kings"/>
    <s v="Lost"/>
    <s v="IPL25-M064"/>
    <s v="Yes"/>
    <n v="0.5"/>
  </r>
  <r>
    <s v="IPL25-P371"/>
    <x v="368"/>
    <x v="9"/>
    <x v="9"/>
    <s v="Indian"/>
    <x v="2"/>
    <s v="Right-handed"/>
    <s v="None"/>
    <n v="14"/>
    <n v="13"/>
    <n v="3"/>
    <n v="307"/>
    <n v="39"/>
    <n v="30.7"/>
    <n v="127.2"/>
    <n v="0"/>
    <n v="0"/>
    <n v="31"/>
    <n v="26"/>
    <n v="0"/>
    <n v="0"/>
    <s v="-"/>
    <s v="-"/>
    <s v="-"/>
    <s v="-"/>
    <n v="0"/>
    <n v="0"/>
    <n v="7"/>
    <n v="0"/>
    <s v="Rajasthan Royals"/>
    <s v="Lost"/>
    <s v="IPL25-M044"/>
    <s v="No"/>
    <n v="0.75"/>
  </r>
  <r>
    <s v="IPL25-P372"/>
    <x v="369"/>
    <x v="2"/>
    <x v="2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373"/>
    <x v="370"/>
    <x v="8"/>
    <x v="8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374"/>
    <x v="371"/>
    <x v="9"/>
    <x v="9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375"/>
    <x v="372"/>
    <x v="2"/>
    <x v="2"/>
    <s v="Indian"/>
    <x v="1"/>
    <s v="Right-handed"/>
    <s v="Right-arm Medium"/>
    <n v="13"/>
    <n v="13"/>
    <n v="1"/>
    <n v="645"/>
    <n v="54"/>
    <n v="53.75"/>
    <n v="147.24"/>
    <n v="1"/>
    <n v="0"/>
    <n v="84"/>
    <n v="49"/>
    <n v="0"/>
    <n v="6"/>
    <n v="34.61"/>
    <n v="7.28"/>
    <n v="18.61"/>
    <s v="3/20"/>
    <n v="0"/>
    <n v="42.9"/>
    <n v="8"/>
    <n v="0"/>
    <s v="Delhi Capitals"/>
    <s v="Won"/>
    <s v="IPL25-M013"/>
    <s v="No"/>
    <n v="2"/>
  </r>
  <r>
    <s v="IPL25-P376"/>
    <x v="373"/>
    <x v="5"/>
    <x v="5"/>
    <s v="Sri Lankan"/>
    <x v="2"/>
    <s v="Right-handed"/>
    <s v="None"/>
    <n v="13"/>
    <n v="11"/>
    <n v="1"/>
    <n v="514"/>
    <n v="87"/>
    <n v="51.4"/>
    <n v="147.87"/>
    <n v="1"/>
    <n v="0"/>
    <n v="54"/>
    <n v="21"/>
    <n v="1"/>
    <n v="0"/>
    <s v="-"/>
    <s v="-"/>
    <s v="-"/>
    <s v="-"/>
    <n v="0"/>
    <n v="0"/>
    <n v="3"/>
    <n v="0"/>
    <s v="Chennai Super Kings"/>
    <s v="Lost"/>
    <s v="IPL25-M071"/>
    <s v="No"/>
    <n v="5"/>
  </r>
  <r>
    <s v="IPL25-P377"/>
    <x v="374"/>
    <x v="3"/>
    <x v="3"/>
    <s v="Bangladeshi"/>
    <x v="0"/>
    <s v="Right-handed"/>
    <s v="Left-arm Medium"/>
    <n v="10"/>
    <n v="8"/>
    <n v="3"/>
    <n v="220"/>
    <n v="27"/>
    <n v="44"/>
    <n v="122.89"/>
    <n v="0"/>
    <n v="0"/>
    <n v="18"/>
    <n v="11"/>
    <n v="2"/>
    <n v="11"/>
    <n v="24.8"/>
    <n v="10.119999999999999"/>
    <n v="11.64"/>
    <s v="5/21"/>
    <n v="0"/>
    <n v="37.9"/>
    <n v="5"/>
    <n v="0"/>
    <s v="Royal Challengers Bengaluru"/>
    <s v="Won"/>
    <s v="IPL25-M060"/>
    <s v="No"/>
    <n v="0.2"/>
  </r>
  <r>
    <s v="IPL25-P378"/>
    <x v="375"/>
    <x v="8"/>
    <x v="8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379"/>
    <x v="376"/>
    <x v="1"/>
    <x v="1"/>
    <s v="Indian"/>
    <x v="2"/>
    <s v="Right-handed"/>
    <s v="None"/>
    <n v="13"/>
    <n v="13"/>
    <n v="2"/>
    <n v="596"/>
    <n v="59"/>
    <n v="54.18"/>
    <n v="126.16"/>
    <n v="0"/>
    <n v="0"/>
    <n v="56"/>
    <n v="50"/>
    <n v="0"/>
    <n v="0"/>
    <s v="-"/>
    <s v="-"/>
    <s v="-"/>
    <s v="-"/>
    <n v="0"/>
    <n v="0"/>
    <n v="9"/>
    <n v="0"/>
    <s v="Royal Challengers Bengaluru"/>
    <s v="Lost"/>
    <s v="IPL25-M049"/>
    <s v="No"/>
    <n v="3"/>
  </r>
  <r>
    <s v="IPL25-P380"/>
    <x v="377"/>
    <x v="6"/>
    <x v="6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381"/>
    <x v="378"/>
    <x v="7"/>
    <x v="7"/>
    <s v="South African"/>
    <x v="2"/>
    <s v="Right-handed"/>
    <s v="None"/>
    <n v="13"/>
    <n v="12"/>
    <n v="3"/>
    <n v="299"/>
    <n v="45"/>
    <n v="33.22"/>
    <n v="183.16"/>
    <n v="0"/>
    <n v="0"/>
    <n v="32"/>
    <n v="27"/>
    <n v="1"/>
    <n v="0"/>
    <s v="-"/>
    <s v="-"/>
    <s v="-"/>
    <s v="-"/>
    <n v="0"/>
    <n v="0"/>
    <n v="7"/>
    <n v="0"/>
    <s v="Kolkata Knight Riders"/>
    <s v="Lost"/>
    <s v="IPL25-M026"/>
    <s v="No"/>
    <n v="0.5"/>
  </r>
  <r>
    <s v="IPL25-P382"/>
    <x v="379"/>
    <x v="4"/>
    <x v="4"/>
    <s v="Indian"/>
    <x v="2"/>
    <s v="Left-handed"/>
    <s v="None"/>
    <n v="12"/>
    <n v="11"/>
    <n v="1"/>
    <n v="461"/>
    <n v="77"/>
    <n v="46.1"/>
    <n v="115.23"/>
    <n v="0"/>
    <n v="0"/>
    <n v="40"/>
    <n v="35"/>
    <n v="0"/>
    <n v="0"/>
    <s v="-"/>
    <s v="-"/>
    <s v="-"/>
    <s v="-"/>
    <n v="0"/>
    <n v="0"/>
    <n v="2"/>
    <n v="0"/>
    <s v="Lucknow Super Giants"/>
    <s v="Lost"/>
    <s v="IPL25-M024"/>
    <s v="No"/>
    <n v="18"/>
  </r>
  <r>
    <s v="IPL25-P383"/>
    <x v="380"/>
    <x v="5"/>
    <x v="5"/>
    <s v="Indian"/>
    <x v="2"/>
    <s v="Left-handed"/>
    <s v="None"/>
    <n v="12"/>
    <n v="11"/>
    <n v="1"/>
    <n v="461"/>
    <n v="77"/>
    <n v="46.1"/>
    <n v="115.23"/>
    <n v="0"/>
    <n v="0"/>
    <n v="40"/>
    <n v="35"/>
    <n v="0"/>
    <n v="0"/>
    <s v="-"/>
    <s v="-"/>
    <s v="-"/>
    <s v="-"/>
    <n v="0"/>
    <n v="0"/>
    <n v="2"/>
    <n v="0"/>
    <s v="Lucknow Super Giants"/>
    <s v="Lost"/>
    <s v="IPL25-M024"/>
    <s v="No"/>
    <n v="18"/>
  </r>
  <r>
    <s v="IPL25-P384"/>
    <x v="381"/>
    <x v="9"/>
    <x v="9"/>
    <s v="New Zealand"/>
    <x v="2"/>
    <s v="Right-handed"/>
    <s v="None"/>
    <n v="11"/>
    <n v="9"/>
    <n v="2"/>
    <n v="154"/>
    <n v="35"/>
    <n v="22"/>
    <n v="163.15"/>
    <n v="0"/>
    <n v="0"/>
    <n v="20"/>
    <n v="6"/>
    <n v="0"/>
    <n v="0"/>
    <s v="-"/>
    <s v="-"/>
    <s v="-"/>
    <s v="-"/>
    <n v="0"/>
    <n v="0"/>
    <n v="3"/>
    <n v="0"/>
    <s v="Royal Challengers Bengaluru"/>
    <s v="Won"/>
    <s v="IPL25-M057"/>
    <s v="No"/>
    <n v="15"/>
  </r>
  <r>
    <s v="IPL25-P385"/>
    <x v="382"/>
    <x v="5"/>
    <x v="5"/>
    <s v="Indian"/>
    <x v="2"/>
    <s v="Right-handed"/>
    <s v="None"/>
    <n v="13"/>
    <n v="12"/>
    <n v="1"/>
    <n v="434"/>
    <n v="91"/>
    <n v="39.450000000000003"/>
    <n v="180.54"/>
    <n v="0"/>
    <n v="0"/>
    <n v="37"/>
    <n v="38"/>
    <n v="0"/>
    <n v="0"/>
    <s v="-"/>
    <s v="-"/>
    <s v="-"/>
    <s v="-"/>
    <n v="0"/>
    <n v="0"/>
    <n v="2"/>
    <n v="0"/>
    <s v="Lucknow Super Giants"/>
    <s v="Lost"/>
    <s v="IPL25-M029"/>
    <s v="No"/>
    <n v="10"/>
  </r>
  <r>
    <s v="IPL25-P386"/>
    <x v="383"/>
    <x v="3"/>
    <x v="3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387"/>
    <x v="384"/>
    <x v="5"/>
    <x v="5"/>
    <s v="Indian"/>
    <x v="0"/>
    <s v="Right-handed"/>
    <s v="Left-arm Spin"/>
    <n v="11"/>
    <n v="11"/>
    <n v="0"/>
    <n v="36"/>
    <n v="19"/>
    <n v="3.27"/>
    <n v="122.14"/>
    <n v="0"/>
    <n v="0"/>
    <n v="3"/>
    <n v="1"/>
    <n v="0"/>
    <n v="0"/>
    <n v="24.33"/>
    <n v="7.9"/>
    <n v="17.16"/>
    <s v="0/12"/>
    <n v="0"/>
    <n v="40.9"/>
    <n v="2"/>
    <n v="0"/>
    <s v="Delhi Capitals"/>
    <s v="Won"/>
    <s v="IPL25-M044"/>
    <s v="No"/>
    <n v="21"/>
  </r>
  <r>
    <s v="IPL25-P388"/>
    <x v="385"/>
    <x v="0"/>
    <x v="0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389"/>
    <x v="386"/>
    <x v="5"/>
    <x v="5"/>
    <s v="South African"/>
    <x v="2"/>
    <s v="Right-handed"/>
    <s v="None"/>
    <n v="12"/>
    <n v="12"/>
    <n v="1"/>
    <n v="582"/>
    <n v="120"/>
    <n v="52.91"/>
    <n v="162.52000000000001"/>
    <n v="1"/>
    <n v="0"/>
    <n v="62"/>
    <n v="42"/>
    <n v="0"/>
    <n v="0"/>
    <s v="-"/>
    <s v="-"/>
    <s v="-"/>
    <s v="-"/>
    <n v="0"/>
    <n v="0"/>
    <n v="10"/>
    <n v="0"/>
    <s v="Rajasthan Royals"/>
    <s v="Lost"/>
    <s v="IPL25-M056"/>
    <s v="No"/>
    <n v="10"/>
  </r>
  <r>
    <s v="IPL25-P390"/>
    <x v="387"/>
    <x v="4"/>
    <x v="4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391"/>
    <x v="388"/>
    <x v="1"/>
    <x v="1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392"/>
    <x v="389"/>
    <x v="4"/>
    <x v="4"/>
    <s v="Indian"/>
    <x v="2"/>
    <s v="Left-handed"/>
    <s v="None"/>
    <n v="11"/>
    <n v="10"/>
    <n v="1"/>
    <n v="162"/>
    <n v="86"/>
    <n v="18"/>
    <n v="163.77000000000001"/>
    <n v="0"/>
    <n v="0"/>
    <n v="22"/>
    <n v="6"/>
    <n v="0"/>
    <n v="0"/>
    <s v="-"/>
    <s v="-"/>
    <s v="-"/>
    <s v="-"/>
    <n v="0"/>
    <n v="0"/>
    <n v="2"/>
    <n v="0"/>
    <s v="Mumbai Indians"/>
    <s v="Won"/>
    <s v="IPL25-M064"/>
    <s v="No"/>
    <n v="5"/>
  </r>
  <r>
    <s v="IPL25-P393"/>
    <x v="390"/>
    <x v="9"/>
    <x v="9"/>
    <s v="New Zealand"/>
    <x v="2"/>
    <s v="Right-handed"/>
    <s v="None"/>
    <n v="12"/>
    <n v="10"/>
    <n v="3"/>
    <n v="324"/>
    <n v="69"/>
    <n v="46.29"/>
    <n v="154.68"/>
    <n v="0"/>
    <n v="0"/>
    <n v="39"/>
    <n v="38"/>
    <n v="0"/>
    <n v="0"/>
    <s v="-"/>
    <s v="-"/>
    <s v="-"/>
    <s v="-"/>
    <n v="0"/>
    <n v="0"/>
    <n v="4"/>
    <n v="0"/>
    <s v="Delhi Capitals"/>
    <s v="Lost"/>
    <s v="IPL25-M061"/>
    <s v="No"/>
    <n v="1.5"/>
  </r>
  <r>
    <s v="IPL25-P394"/>
    <x v="391"/>
    <x v="9"/>
    <x v="9"/>
    <s v="Sri Lankan"/>
    <x v="2"/>
    <s v="Right-handed"/>
    <s v="None"/>
    <n v="13"/>
    <n v="11"/>
    <n v="1"/>
    <n v="514"/>
    <n v="87"/>
    <n v="51.4"/>
    <n v="147.87"/>
    <n v="1"/>
    <n v="0"/>
    <n v="54"/>
    <n v="21"/>
    <n v="1"/>
    <n v="0"/>
    <s v="-"/>
    <s v="-"/>
    <s v="-"/>
    <s v="-"/>
    <n v="0"/>
    <n v="0"/>
    <n v="3"/>
    <n v="0"/>
    <s v="Chennai Super Kings"/>
    <s v="Lost"/>
    <s v="IPL25-M071"/>
    <s v="No"/>
    <n v="5"/>
  </r>
  <r>
    <s v="IPL25-P395"/>
    <x v="392"/>
    <x v="1"/>
    <x v="1"/>
    <s v="Indian"/>
    <x v="2"/>
    <s v="Right-handed"/>
    <s v="None"/>
    <n v="10"/>
    <n v="8"/>
    <n v="0"/>
    <n v="394"/>
    <n v="101"/>
    <n v="49.25"/>
    <n v="152.62"/>
    <n v="0"/>
    <n v="0"/>
    <n v="35"/>
    <n v="32"/>
    <n v="0"/>
    <n v="0"/>
    <s v="-"/>
    <s v="-"/>
    <s v="-"/>
    <s v="-"/>
    <n v="0"/>
    <n v="0"/>
    <n v="5"/>
    <n v="0"/>
    <s v="Chennai Super Kings"/>
    <s v="Won"/>
    <s v="IPL25-M063"/>
    <s v="Yes"/>
    <n v="0.2"/>
  </r>
  <r>
    <s v="IPL25-P396"/>
    <x v="393"/>
    <x v="3"/>
    <x v="3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397"/>
    <x v="394"/>
    <x v="2"/>
    <x v="2"/>
    <s v="Indian"/>
    <x v="0"/>
    <s v="Right-handed"/>
    <s v="Left-arm Spin"/>
    <n v="11"/>
    <n v="10"/>
    <n v="0"/>
    <n v="244"/>
    <n v="39"/>
    <n v="24.4"/>
    <n v="90.58"/>
    <n v="0"/>
    <n v="0"/>
    <n v="20"/>
    <n v="12"/>
    <n v="2"/>
    <n v="16"/>
    <n v="14.87"/>
    <n v="6.8"/>
    <n v="13.2"/>
    <s v="5/32"/>
    <n v="0"/>
    <n v="40.9"/>
    <n v="7"/>
    <n v="0"/>
    <s v="Chennai Super Kings"/>
    <s v="Lost"/>
    <s v="IPL25-M048"/>
    <s v="No"/>
    <n v="0.75"/>
  </r>
  <r>
    <s v="IPL25-P398"/>
    <x v="395"/>
    <x v="0"/>
    <x v="0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399"/>
    <x v="396"/>
    <x v="7"/>
    <x v="7"/>
    <s v="Bangladeshi"/>
    <x v="0"/>
    <s v="Right-handed"/>
    <s v="Left-arm Medium"/>
    <n v="10"/>
    <n v="8"/>
    <n v="3"/>
    <n v="220"/>
    <n v="27"/>
    <n v="44"/>
    <n v="122.89"/>
    <n v="0"/>
    <n v="0"/>
    <n v="18"/>
    <n v="11"/>
    <n v="2"/>
    <n v="11"/>
    <n v="24.8"/>
    <n v="10.119999999999999"/>
    <n v="11.64"/>
    <s v="5/21"/>
    <n v="0"/>
    <n v="37.9"/>
    <n v="5"/>
    <n v="0"/>
    <s v="Royal Challengers Bengaluru"/>
    <s v="Won"/>
    <s v="IPL25-M060"/>
    <s v="No"/>
    <n v="0.2"/>
  </r>
  <r>
    <s v="IPL25-P400"/>
    <x v="397"/>
    <x v="1"/>
    <x v="1"/>
    <s v="South African"/>
    <x v="2"/>
    <s v="Left-handed"/>
    <s v="None"/>
    <n v="13"/>
    <n v="12"/>
    <n v="3"/>
    <n v="175"/>
    <n v="91"/>
    <n v="19.440000000000001"/>
    <n v="152.94999999999999"/>
    <n v="0"/>
    <n v="0"/>
    <n v="17"/>
    <n v="10"/>
    <n v="0"/>
    <n v="0"/>
    <s v="-"/>
    <s v="-"/>
    <s v="-"/>
    <s v="-"/>
    <n v="0"/>
    <n v="0"/>
    <n v="11"/>
    <n v="0"/>
    <s v="Kolkata Knight Riders"/>
    <s v="Lost"/>
    <s v="IPL25-M025"/>
    <s v="No"/>
    <n v="7.5"/>
  </r>
  <r>
    <s v="IPL25-P401"/>
    <x v="398"/>
    <x v="8"/>
    <x v="8"/>
    <s v="Indian"/>
    <x v="0"/>
    <s v="Right-handed"/>
    <s v="Left-arm Spin"/>
    <n v="8"/>
    <n v="7"/>
    <n v="3"/>
    <n v="80"/>
    <n v="18"/>
    <n v="20"/>
    <n v="104.74"/>
    <n v="0"/>
    <n v="0"/>
    <n v="6"/>
    <n v="4"/>
    <n v="2"/>
    <n v="7"/>
    <n v="31.15"/>
    <n v="10.06"/>
    <n v="15.87"/>
    <s v="5/15"/>
    <n v="0"/>
    <n v="29.7"/>
    <n v="3"/>
    <n v="0"/>
    <s v="Rajasthan Royals"/>
    <s v="Won"/>
    <s v="IPL25-M054"/>
    <s v="No"/>
    <n v="1"/>
  </r>
  <r>
    <s v="IPL25-P402"/>
    <x v="399"/>
    <x v="9"/>
    <x v="9"/>
    <s v="Indian"/>
    <x v="2"/>
    <s v="Left-handed"/>
    <s v="None"/>
    <n v="11"/>
    <n v="10"/>
    <n v="1"/>
    <n v="382"/>
    <n v="33"/>
    <n v="42.44"/>
    <n v="176.49"/>
    <n v="0"/>
    <n v="0"/>
    <n v="47"/>
    <n v="24"/>
    <n v="0"/>
    <n v="0"/>
    <s v="-"/>
    <s v="-"/>
    <s v="-"/>
    <s v="-"/>
    <n v="0"/>
    <n v="0"/>
    <n v="7"/>
    <n v="0"/>
    <s v="Rajasthan Royals"/>
    <s v="Lost"/>
    <s v="IPL25-M039"/>
    <s v="Yes"/>
    <n v="0.5"/>
  </r>
  <r>
    <s v="IPL25-P403"/>
    <x v="400"/>
    <x v="0"/>
    <x v="0"/>
    <s v="Indian"/>
    <x v="2"/>
    <s v="Left-handed"/>
    <s v="None"/>
    <n v="10"/>
    <n v="10"/>
    <n v="2"/>
    <n v="234"/>
    <n v="95"/>
    <n v="29.25"/>
    <n v="119.12"/>
    <n v="0"/>
    <n v="0"/>
    <n v="23"/>
    <n v="26"/>
    <n v="0"/>
    <n v="0"/>
    <s v="-"/>
    <s v="-"/>
    <s v="-"/>
    <s v="-"/>
    <n v="0"/>
    <n v="0"/>
    <n v="10"/>
    <n v="0"/>
    <s v="Lucknow Super Giants"/>
    <s v="Won"/>
    <s v="IPL25-M046"/>
    <s v="Yes"/>
    <n v="0.4"/>
  </r>
  <r>
    <s v="IPL25-P404"/>
    <x v="401"/>
    <x v="2"/>
    <x v="2"/>
    <s v="South African"/>
    <x v="2"/>
    <s v="Right-handed"/>
    <s v="None"/>
    <n v="12"/>
    <n v="12"/>
    <n v="1"/>
    <n v="582"/>
    <n v="120"/>
    <n v="52.91"/>
    <n v="162.52000000000001"/>
    <n v="1"/>
    <n v="0"/>
    <n v="62"/>
    <n v="42"/>
    <n v="0"/>
    <n v="0"/>
    <s v="-"/>
    <s v="-"/>
    <s v="-"/>
    <s v="-"/>
    <n v="0"/>
    <n v="0"/>
    <n v="10"/>
    <n v="0"/>
    <s v="Rajasthan Royals"/>
    <s v="Lost"/>
    <s v="IPL25-M056"/>
    <s v="No"/>
    <n v="10"/>
  </r>
  <r>
    <s v="IPL25-P405"/>
    <x v="402"/>
    <x v="9"/>
    <x v="9"/>
    <s v="Indian"/>
    <x v="0"/>
    <s v="Left-handed"/>
    <s v="Right-arm Fast"/>
    <n v="9"/>
    <n v="8"/>
    <n v="2"/>
    <n v="173"/>
    <n v="37"/>
    <n v="28.83"/>
    <n v="127.32"/>
    <n v="0"/>
    <n v="0"/>
    <n v="14"/>
    <n v="8"/>
    <n v="3"/>
    <n v="6"/>
    <n v="15.44"/>
    <n v="8.42"/>
    <n v="19.11"/>
    <s v="3/18"/>
    <n v="0"/>
    <n v="31.6"/>
    <n v="2"/>
    <n v="0"/>
    <s v="Lucknow Super Giants"/>
    <s v="Lost"/>
    <s v="IPL25-M029"/>
    <s v="No"/>
    <n v="6"/>
  </r>
  <r>
    <s v="IPL25-P406"/>
    <x v="403"/>
    <x v="3"/>
    <x v="3"/>
    <s v="Afghan"/>
    <x v="2"/>
    <s v="Left-handed"/>
    <s v="None"/>
    <n v="11"/>
    <n v="9"/>
    <n v="0"/>
    <n v="254"/>
    <n v="100"/>
    <n v="28.22"/>
    <n v="148.43"/>
    <n v="0"/>
    <n v="0"/>
    <n v="26"/>
    <n v="23"/>
    <n v="0"/>
    <n v="0"/>
    <s v="-"/>
    <s v="-"/>
    <s v="-"/>
    <s v="-"/>
    <n v="0"/>
    <n v="0"/>
    <n v="9"/>
    <n v="0"/>
    <s v="Rajasthan Royals"/>
    <s v="Won"/>
    <s v="IPL25-M035"/>
    <s v="No"/>
    <n v="5"/>
  </r>
  <r>
    <s v="IPL25-P407"/>
    <x v="404"/>
    <x v="9"/>
    <x v="9"/>
    <s v="Indian"/>
    <x v="1"/>
    <s v="Right-handed"/>
    <s v="Left-arm Fast"/>
    <n v="13"/>
    <n v="12"/>
    <n v="1"/>
    <n v="523"/>
    <n v="88"/>
    <n v="47.55"/>
    <n v="129.71"/>
    <n v="1"/>
    <n v="0"/>
    <n v="61"/>
    <n v="34"/>
    <n v="0"/>
    <n v="12"/>
    <n v="22.7"/>
    <n v="8.8000000000000007"/>
    <n v="17.95"/>
    <s v="5/39"/>
    <n v="0"/>
    <n v="46.7"/>
    <n v="10"/>
    <n v="0"/>
    <s v="Punjab Kings"/>
    <s v="Lost"/>
    <s v="IPL25-M070"/>
    <s v="No"/>
    <n v="5"/>
  </r>
  <r>
    <s v="IPL25-P408"/>
    <x v="405"/>
    <x v="1"/>
    <x v="1"/>
    <s v="Indian"/>
    <x v="2"/>
    <s v="Left-handed"/>
    <s v="None"/>
    <n v="10"/>
    <n v="10"/>
    <n v="2"/>
    <n v="234"/>
    <n v="95"/>
    <n v="29.25"/>
    <n v="119.12"/>
    <n v="0"/>
    <n v="0"/>
    <n v="23"/>
    <n v="26"/>
    <n v="0"/>
    <n v="0"/>
    <s v="-"/>
    <s v="-"/>
    <s v="-"/>
    <s v="-"/>
    <n v="0"/>
    <n v="0"/>
    <n v="10"/>
    <n v="0"/>
    <s v="Lucknow Super Giants"/>
    <s v="Won"/>
    <s v="IPL25-M046"/>
    <s v="Yes"/>
    <n v="0.4"/>
  </r>
  <r>
    <s v="IPL25-P409"/>
    <x v="406"/>
    <x v="6"/>
    <x v="6"/>
    <s v="Indian"/>
    <x v="1"/>
    <s v="Right-handed"/>
    <s v="Left-arm Spin"/>
    <n v="11"/>
    <n v="10"/>
    <n v="3"/>
    <n v="187"/>
    <n v="60"/>
    <n v="26.71"/>
    <n v="153.07"/>
    <n v="0"/>
    <n v="0"/>
    <n v="24"/>
    <n v="11"/>
    <n v="0"/>
    <n v="5"/>
    <n v="15.55"/>
    <n v="10.28"/>
    <n v="16.78"/>
    <s v="5/24"/>
    <n v="0"/>
    <n v="30.9"/>
    <n v="9"/>
    <n v="0"/>
    <s v="Royal Challengers Bengaluru"/>
    <s v="Lost"/>
    <s v="IPL25-M043"/>
    <s v="No"/>
    <n v="0.4"/>
  </r>
  <r>
    <s v="IPL25-P410"/>
    <x v="407"/>
    <x v="6"/>
    <x v="6"/>
    <s v="South African"/>
    <x v="1"/>
    <s v="Right-handed"/>
    <s v="Right-arm Medium"/>
    <n v="14"/>
    <n v="12"/>
    <n v="0"/>
    <n v="370"/>
    <n v="116"/>
    <n v="30.83"/>
    <n v="176.54"/>
    <n v="0"/>
    <n v="0"/>
    <n v="36"/>
    <n v="18"/>
    <n v="1"/>
    <n v="8"/>
    <n v="21.7"/>
    <n v="7.75"/>
    <n v="14.72"/>
    <s v="2/10"/>
    <n v="0"/>
    <n v="43.8"/>
    <n v="2"/>
    <n v="0"/>
    <s v="Gujarat Titans"/>
    <s v="Lost"/>
    <s v="IPL25-M018"/>
    <s v="No"/>
    <n v="4"/>
  </r>
  <r>
    <s v="IPL25-P411"/>
    <x v="408"/>
    <x v="7"/>
    <x v="7"/>
    <s v="Sri Lankan"/>
    <x v="0"/>
    <s v="Left-handed"/>
    <s v="Left-arm Medium"/>
    <n v="13"/>
    <n v="13"/>
    <n v="0"/>
    <n v="186"/>
    <n v="39"/>
    <n v="14.31"/>
    <n v="125.79"/>
    <n v="0"/>
    <n v="0"/>
    <n v="15"/>
    <n v="9"/>
    <n v="2"/>
    <n v="14"/>
    <n v="23.48"/>
    <n v="7.48"/>
    <n v="14.57"/>
    <s v="3/13"/>
    <n v="0"/>
    <n v="44.2"/>
    <n v="10"/>
    <n v="0"/>
    <s v="Punjab Kings"/>
    <s v="Lost"/>
    <s v="IPL25-M007"/>
    <s v="No"/>
    <n v="0.4"/>
  </r>
  <r>
    <s v="IPL25-P412"/>
    <x v="409"/>
    <x v="7"/>
    <x v="7"/>
    <s v="Bangladeshi"/>
    <x v="2"/>
    <s v="Right-handed"/>
    <s v="None"/>
    <n v="9"/>
    <n v="7"/>
    <n v="2"/>
    <n v="144"/>
    <n v="91"/>
    <n v="28.8"/>
    <n v="149.19999999999999"/>
    <n v="0"/>
    <n v="0"/>
    <n v="18"/>
    <n v="8"/>
    <n v="0"/>
    <n v="0"/>
    <s v="-"/>
    <s v="-"/>
    <s v="-"/>
    <s v="-"/>
    <n v="0"/>
    <n v="0"/>
    <n v="2"/>
    <n v="0"/>
    <s v="Gujarat Titans"/>
    <s v="Lost"/>
    <s v="IPL25-M063"/>
    <s v="No"/>
    <n v="0.5"/>
  </r>
  <r>
    <s v="IPL25-P413"/>
    <x v="410"/>
    <x v="8"/>
    <x v="8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414"/>
    <x v="411"/>
    <x v="6"/>
    <x v="6"/>
    <s v="Indian"/>
    <x v="2"/>
    <s v="Left-handed"/>
    <s v="None"/>
    <n v="11"/>
    <n v="10"/>
    <n v="1"/>
    <n v="382"/>
    <n v="33"/>
    <n v="42.44"/>
    <n v="176.49"/>
    <n v="0"/>
    <n v="0"/>
    <n v="47"/>
    <n v="24"/>
    <n v="0"/>
    <n v="0"/>
    <s v="-"/>
    <s v="-"/>
    <s v="-"/>
    <s v="-"/>
    <n v="0"/>
    <n v="0"/>
    <n v="7"/>
    <n v="0"/>
    <s v="Rajasthan Royals"/>
    <s v="Lost"/>
    <s v="IPL25-M039"/>
    <s v="Yes"/>
    <n v="0.5"/>
  </r>
  <r>
    <s v="IPL25-P415"/>
    <x v="412"/>
    <x v="9"/>
    <x v="9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416"/>
    <x v="413"/>
    <x v="8"/>
    <x v="8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417"/>
    <x v="414"/>
    <x v="1"/>
    <x v="1"/>
    <s v="Indian"/>
    <x v="1"/>
    <s v="Left-handed"/>
    <s v="Right-arm Fast"/>
    <n v="10"/>
    <n v="9"/>
    <n v="0"/>
    <n v="355"/>
    <n v="40"/>
    <n v="39.44"/>
    <n v="126.55"/>
    <n v="0"/>
    <n v="0"/>
    <n v="38"/>
    <n v="39"/>
    <n v="0"/>
    <n v="14"/>
    <n v="16.98"/>
    <n v="7.04"/>
    <n v="10.07"/>
    <s v="5/28"/>
    <n v="0"/>
    <n v="30.6"/>
    <n v="2"/>
    <n v="0"/>
    <s v="Punjab Kings"/>
    <s v="Won"/>
    <s v="IPL25-M003"/>
    <s v="No"/>
    <n v="0.75"/>
  </r>
  <r>
    <s v="IPL25-P418"/>
    <x v="415"/>
    <x v="2"/>
    <x v="2"/>
    <s v="Afghan"/>
    <x v="1"/>
    <s v="Right-handed"/>
    <s v="Right-arm Off-spin"/>
    <n v="10"/>
    <n v="10"/>
    <n v="3"/>
    <n v="325"/>
    <n v="40"/>
    <n v="46.43"/>
    <n v="111.14"/>
    <n v="0"/>
    <n v="0"/>
    <n v="44"/>
    <n v="22"/>
    <n v="0"/>
    <n v="16"/>
    <n v="24.26"/>
    <n v="9.39"/>
    <n v="10.86"/>
    <s v="2/10"/>
    <n v="0"/>
    <n v="37.9"/>
    <n v="7"/>
    <n v="0"/>
    <s v="Gujarat Titans"/>
    <s v="Lost"/>
    <s v="IPL25-M005"/>
    <s v="No"/>
    <n v="4"/>
  </r>
  <r>
    <s v="IPL25-P419"/>
    <x v="416"/>
    <x v="2"/>
    <x v="2"/>
    <s v="Bangladeshi"/>
    <x v="0"/>
    <s v="Right-handed"/>
    <s v="Left-arm Medium"/>
    <n v="10"/>
    <n v="8"/>
    <n v="3"/>
    <n v="220"/>
    <n v="27"/>
    <n v="44"/>
    <n v="122.89"/>
    <n v="0"/>
    <n v="0"/>
    <n v="18"/>
    <n v="11"/>
    <n v="2"/>
    <n v="11"/>
    <n v="24.8"/>
    <n v="10.119999999999999"/>
    <n v="11.64"/>
    <s v="5/21"/>
    <n v="0"/>
    <n v="37.9"/>
    <n v="5"/>
    <n v="0"/>
    <s v="Royal Challengers Bengaluru"/>
    <s v="Won"/>
    <s v="IPL25-M060"/>
    <s v="No"/>
    <n v="0.2"/>
  </r>
  <r>
    <s v="IPL25-P420"/>
    <x v="417"/>
    <x v="1"/>
    <x v="1"/>
    <s v="South African"/>
    <x v="2"/>
    <s v="Left-handed"/>
    <s v="None"/>
    <n v="13"/>
    <n v="11"/>
    <n v="3"/>
    <n v="368"/>
    <n v="79"/>
    <n v="46"/>
    <n v="157.30000000000001"/>
    <n v="0"/>
    <n v="0"/>
    <n v="34"/>
    <n v="21"/>
    <n v="0"/>
    <n v="0"/>
    <s v="-"/>
    <s v="-"/>
    <s v="-"/>
    <s v="-"/>
    <n v="0"/>
    <n v="0"/>
    <n v="12"/>
    <n v="0"/>
    <s v="Delhi Capitals"/>
    <s v="Lost"/>
    <s v="IPL25-M030"/>
    <s v="No"/>
    <n v="15"/>
  </r>
  <r>
    <s v="IPL25-P421"/>
    <x v="418"/>
    <x v="6"/>
    <x v="6"/>
    <s v="Indian"/>
    <x v="0"/>
    <s v="Right-handed"/>
    <s v="Right-arm Leg-spin"/>
    <n v="11"/>
    <n v="9"/>
    <n v="1"/>
    <n v="260"/>
    <n v="5"/>
    <n v="32.5"/>
    <n v="116.16"/>
    <n v="0"/>
    <n v="0"/>
    <n v="21"/>
    <n v="13"/>
    <n v="2"/>
    <n v="17"/>
    <n v="23.84"/>
    <n v="10.19"/>
    <n v="19.34"/>
    <s v="2/27"/>
    <n v="0"/>
    <n v="35"/>
    <n v="9"/>
    <n v="0"/>
    <s v="Gujarat Titans"/>
    <s v="Lost"/>
    <s v="IPL25-M008"/>
    <s v="No"/>
    <n v="0.2"/>
  </r>
  <r>
    <s v="IPL25-P422"/>
    <x v="419"/>
    <x v="9"/>
    <x v="9"/>
    <s v="Sri Lankan"/>
    <x v="0"/>
    <s v="Left-handed"/>
    <s v="Right-arm Leg-spin"/>
    <n v="8"/>
    <n v="6"/>
    <n v="0"/>
    <n v="21"/>
    <n v="14"/>
    <n v="3.5"/>
    <n v="85.67"/>
    <n v="0"/>
    <n v="0"/>
    <n v="1"/>
    <n v="1"/>
    <n v="1"/>
    <n v="13"/>
    <n v="29.13"/>
    <n v="9.7799999999999994"/>
    <n v="10.95"/>
    <s v="3/30"/>
    <n v="0"/>
    <n v="24"/>
    <n v="7"/>
    <n v="0"/>
    <s v="Royal Challengers Bengaluru"/>
    <s v="Lost"/>
    <s v="IPL25-M043"/>
    <s v="No"/>
    <n v="1.5"/>
  </r>
  <r>
    <s v="IPL25-P423"/>
    <x v="420"/>
    <x v="9"/>
    <x v="9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424"/>
    <x v="421"/>
    <x v="3"/>
    <x v="3"/>
    <s v="Sri Lankan"/>
    <x v="0"/>
    <s v="Left-handed"/>
    <s v="Right-arm Off-spin"/>
    <n v="12"/>
    <n v="10"/>
    <n v="1"/>
    <n v="95"/>
    <n v="17"/>
    <n v="10.56"/>
    <n v="93.33"/>
    <n v="0"/>
    <n v="0"/>
    <n v="7"/>
    <n v="4"/>
    <n v="2"/>
    <n v="6"/>
    <n v="32.340000000000003"/>
    <n v="9.19"/>
    <n v="18.239999999999998"/>
    <s v="3/24"/>
    <n v="0"/>
    <n v="41.7"/>
    <n v="9"/>
    <n v="0"/>
    <s v="Gujarat Titans"/>
    <s v="Won"/>
    <s v="IPL25-M031"/>
    <s v="No"/>
    <n v="18"/>
  </r>
  <r>
    <s v="IPL25-P425"/>
    <x v="422"/>
    <x v="7"/>
    <x v="7"/>
    <s v="Bangladeshi"/>
    <x v="1"/>
    <s v="Left-handed"/>
    <s v="Right-arm Leg-spin"/>
    <n v="10"/>
    <n v="10"/>
    <n v="3"/>
    <n v="207"/>
    <n v="46"/>
    <n v="29.57"/>
    <n v="155.16999999999999"/>
    <n v="0"/>
    <n v="0"/>
    <n v="22"/>
    <n v="11"/>
    <n v="0"/>
    <n v="2"/>
    <n v="17.36"/>
    <n v="9.74"/>
    <n v="18.89"/>
    <s v="2/37"/>
    <n v="0"/>
    <n v="25.7"/>
    <n v="6"/>
    <n v="0"/>
    <s v="Sunrisers Hyderabad"/>
    <s v="Won"/>
    <s v="IPL25-M026"/>
    <s v="No"/>
    <n v="0.4"/>
  </r>
  <r>
    <s v="IPL25-P426"/>
    <x v="423"/>
    <x v="5"/>
    <x v="5"/>
    <s v="Indian"/>
    <x v="0"/>
    <s v="Right-handed"/>
    <s v="Left-arm Spin"/>
    <n v="8"/>
    <n v="7"/>
    <n v="3"/>
    <n v="80"/>
    <n v="18"/>
    <n v="20"/>
    <n v="104.74"/>
    <n v="0"/>
    <n v="0"/>
    <n v="6"/>
    <n v="4"/>
    <n v="2"/>
    <n v="7"/>
    <n v="31.15"/>
    <n v="10.06"/>
    <n v="15.87"/>
    <s v="5/15"/>
    <n v="0"/>
    <n v="29.7"/>
    <n v="3"/>
    <n v="0"/>
    <s v="Rajasthan Royals"/>
    <s v="Won"/>
    <s v="IPL25-M054"/>
    <s v="No"/>
    <n v="1"/>
  </r>
  <r>
    <s v="IPL25-P427"/>
    <x v="424"/>
    <x v="3"/>
    <x v="3"/>
    <s v="Indian"/>
    <x v="2"/>
    <s v="Left-handed"/>
    <s v="None"/>
    <n v="11"/>
    <n v="10"/>
    <n v="1"/>
    <n v="382"/>
    <n v="33"/>
    <n v="42.44"/>
    <n v="176.49"/>
    <n v="0"/>
    <n v="0"/>
    <n v="47"/>
    <n v="24"/>
    <n v="0"/>
    <n v="0"/>
    <s v="-"/>
    <s v="-"/>
    <s v="-"/>
    <s v="-"/>
    <n v="0"/>
    <n v="0"/>
    <n v="7"/>
    <n v="0"/>
    <s v="Rajasthan Royals"/>
    <s v="Lost"/>
    <s v="IPL25-M039"/>
    <s v="Yes"/>
    <n v="0.5"/>
  </r>
  <r>
    <s v="IPL25-P428"/>
    <x v="425"/>
    <x v="3"/>
    <x v="3"/>
    <s v="Indian"/>
    <x v="1"/>
    <s v="Right-handed"/>
    <s v="Right-arm Medium"/>
    <n v="8"/>
    <n v="8"/>
    <n v="2"/>
    <n v="269"/>
    <n v="111"/>
    <n v="44.83"/>
    <n v="122.04"/>
    <n v="0"/>
    <n v="0"/>
    <n v="31"/>
    <n v="24"/>
    <n v="0"/>
    <n v="8"/>
    <n v="25.44"/>
    <n v="8.33"/>
    <n v="14.45"/>
    <s v="3/41"/>
    <n v="0"/>
    <n v="25.6"/>
    <n v="8"/>
    <n v="0"/>
    <s v="Lucknow Super Giants"/>
    <s v="Lost"/>
    <s v="IPL25-M009"/>
    <s v="No"/>
    <n v="18"/>
  </r>
  <r>
    <s v="IPL25-P429"/>
    <x v="426"/>
    <x v="0"/>
    <x v="0"/>
    <s v="Indian"/>
    <x v="0"/>
    <s v="Left-handed"/>
    <s v="Left-arm Spin"/>
    <n v="11"/>
    <n v="10"/>
    <n v="2"/>
    <n v="286"/>
    <n v="23"/>
    <n v="35.75"/>
    <n v="94.88"/>
    <n v="0"/>
    <n v="0"/>
    <n v="23"/>
    <n v="14"/>
    <n v="3"/>
    <n v="14"/>
    <n v="17.82"/>
    <n v="7.13"/>
    <n v="17.84"/>
    <s v="5/30"/>
    <n v="0"/>
    <n v="31.7"/>
    <n v="2"/>
    <n v="0"/>
    <s v="Mumbai Indians"/>
    <s v="Won"/>
    <s v="IPL25-M037"/>
    <s v="No"/>
    <n v="4"/>
  </r>
  <r>
    <s v="IPL25-P430"/>
    <x v="427"/>
    <x v="4"/>
    <x v="4"/>
    <s v="Indian"/>
    <x v="1"/>
    <s v="Right-handed"/>
    <s v="Left-arm Fast"/>
    <n v="13"/>
    <n v="12"/>
    <n v="1"/>
    <n v="523"/>
    <n v="88"/>
    <n v="47.55"/>
    <n v="129.71"/>
    <n v="1"/>
    <n v="0"/>
    <n v="61"/>
    <n v="34"/>
    <n v="0"/>
    <n v="12"/>
    <n v="22.7"/>
    <n v="8.8000000000000007"/>
    <n v="17.95"/>
    <s v="5/39"/>
    <n v="0"/>
    <n v="46.7"/>
    <n v="10"/>
    <n v="0"/>
    <s v="Punjab Kings"/>
    <s v="Lost"/>
    <s v="IPL25-M070"/>
    <s v="No"/>
    <n v="5"/>
  </r>
  <r>
    <s v="IPL25-P431"/>
    <x v="428"/>
    <x v="3"/>
    <x v="3"/>
    <s v="Pakistani"/>
    <x v="1"/>
    <s v="Left-handed"/>
    <s v="Right-arm Fast"/>
    <n v="9"/>
    <n v="7"/>
    <n v="1"/>
    <n v="124"/>
    <n v="76"/>
    <n v="20.67"/>
    <n v="122.36"/>
    <n v="0"/>
    <n v="0"/>
    <n v="12"/>
    <n v="7"/>
    <n v="0"/>
    <n v="10"/>
    <n v="17.79"/>
    <n v="8.09"/>
    <n v="15.26"/>
    <s v="5/36"/>
    <n v="0"/>
    <n v="26.9"/>
    <n v="2"/>
    <n v="0"/>
    <s v="Punjab Kings"/>
    <s v="Lost"/>
    <s v="IPL25-M070"/>
    <s v="No"/>
    <n v="6"/>
  </r>
  <r>
    <s v="IPL25-P432"/>
    <x v="429"/>
    <x v="2"/>
    <x v="2"/>
    <s v="English"/>
    <x v="3"/>
    <s v="Left-handed"/>
    <s v="None"/>
    <n v="8"/>
    <n v="8"/>
    <n v="0"/>
    <n v="216"/>
    <n v="36"/>
    <n v="27"/>
    <n v="169.85"/>
    <n v="0"/>
    <n v="0"/>
    <n v="21"/>
    <n v="23"/>
    <n v="0"/>
    <n v="0"/>
    <s v="-"/>
    <s v="-"/>
    <s v="-"/>
    <s v="-"/>
    <n v="0"/>
    <n v="0"/>
    <n v="6"/>
    <n v="2"/>
    <s v="Mumbai Indians"/>
    <s v="Won"/>
    <s v="IPL25-M032"/>
    <s v="No"/>
    <n v="3"/>
  </r>
  <r>
    <s v="IPL25-P433"/>
    <x v="430"/>
    <x v="6"/>
    <x v="6"/>
    <s v="Indian"/>
    <x v="2"/>
    <s v="Left-handed"/>
    <s v="None"/>
    <n v="11"/>
    <n v="10"/>
    <n v="1"/>
    <n v="162"/>
    <n v="86"/>
    <n v="18"/>
    <n v="163.77000000000001"/>
    <n v="0"/>
    <n v="0"/>
    <n v="22"/>
    <n v="6"/>
    <n v="0"/>
    <n v="0"/>
    <s v="-"/>
    <s v="-"/>
    <s v="-"/>
    <s v="-"/>
    <n v="0"/>
    <n v="0"/>
    <n v="2"/>
    <n v="0"/>
    <s v="Mumbai Indians"/>
    <s v="Won"/>
    <s v="IPL25-M064"/>
    <s v="No"/>
    <n v="5"/>
  </r>
  <r>
    <s v="IPL25-P434"/>
    <x v="431"/>
    <x v="1"/>
    <x v="1"/>
    <s v="Indian"/>
    <x v="1"/>
    <s v="Left-handed"/>
    <s v="Right-arm Fast"/>
    <n v="14"/>
    <n v="14"/>
    <n v="1"/>
    <n v="254"/>
    <n v="81"/>
    <n v="19.54"/>
    <n v="182.1"/>
    <n v="0"/>
    <n v="0"/>
    <n v="28"/>
    <n v="28"/>
    <n v="1"/>
    <n v="8"/>
    <n v="19.739999999999998"/>
    <n v="6.81"/>
    <n v="19.8"/>
    <s v="3/31"/>
    <n v="0"/>
    <n v="41.3"/>
    <n v="11"/>
    <n v="0"/>
    <s v="Gujarat Titans"/>
    <s v="Lost"/>
    <s v="IPL25-M017"/>
    <s v="No"/>
    <n v="6"/>
  </r>
  <r>
    <s v="IPL25-P435"/>
    <x v="432"/>
    <x v="0"/>
    <x v="0"/>
    <s v="Pakistani"/>
    <x v="0"/>
    <s v="Right-handed"/>
    <s v="Right-arm Medium"/>
    <n v="13"/>
    <n v="11"/>
    <n v="1"/>
    <n v="68"/>
    <n v="28"/>
    <n v="6.8"/>
    <n v="126"/>
    <n v="0"/>
    <n v="0"/>
    <n v="5"/>
    <n v="3"/>
    <n v="1"/>
    <n v="15"/>
    <n v="29.92"/>
    <n v="10.27"/>
    <n v="15.08"/>
    <s v="5/16"/>
    <n v="0"/>
    <n v="36.299999999999997"/>
    <n v="10"/>
    <n v="0"/>
    <s v="Gujarat Titans"/>
    <s v="Won"/>
    <s v="IPL25-M002"/>
    <s v="No"/>
    <n v="7.5"/>
  </r>
  <r>
    <s v="IPL25-P436"/>
    <x v="433"/>
    <x v="9"/>
    <x v="9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437"/>
    <x v="434"/>
    <x v="7"/>
    <x v="7"/>
    <s v="Indian"/>
    <x v="2"/>
    <s v="Right-handed"/>
    <s v="None"/>
    <n v="14"/>
    <n v="13"/>
    <n v="3"/>
    <n v="307"/>
    <n v="39"/>
    <n v="30.7"/>
    <n v="127.2"/>
    <n v="0"/>
    <n v="0"/>
    <n v="31"/>
    <n v="26"/>
    <n v="0"/>
    <n v="0"/>
    <s v="-"/>
    <s v="-"/>
    <s v="-"/>
    <s v="-"/>
    <n v="0"/>
    <n v="0"/>
    <n v="7"/>
    <n v="0"/>
    <s v="Rajasthan Royals"/>
    <s v="Lost"/>
    <s v="IPL25-M044"/>
    <s v="No"/>
    <n v="0.75"/>
  </r>
  <r>
    <s v="IPL25-P438"/>
    <x v="435"/>
    <x v="5"/>
    <x v="5"/>
    <s v="Indian"/>
    <x v="2"/>
    <s v="Right-handed"/>
    <s v="None"/>
    <n v="10"/>
    <n v="10"/>
    <n v="2"/>
    <n v="207"/>
    <n v="58"/>
    <n v="25.88"/>
    <n v="136.53"/>
    <n v="0"/>
    <n v="0"/>
    <n v="20"/>
    <n v="8"/>
    <n v="0"/>
    <n v="0"/>
    <s v="-"/>
    <s v="-"/>
    <s v="-"/>
    <s v="-"/>
    <n v="0"/>
    <n v="0"/>
    <n v="8"/>
    <n v="0"/>
    <s v="Gujarat Titans"/>
    <s v="Lost"/>
    <s v="IPL25-M034"/>
    <s v="No"/>
    <n v="2.5"/>
  </r>
  <r>
    <s v="IPL25-P439"/>
    <x v="436"/>
    <x v="1"/>
    <x v="1"/>
    <s v="Indian"/>
    <x v="2"/>
    <s v="Right-handed"/>
    <s v="None"/>
    <n v="8"/>
    <n v="6"/>
    <n v="3"/>
    <n v="92"/>
    <n v="68"/>
    <n v="30.67"/>
    <n v="154.18"/>
    <n v="0"/>
    <n v="0"/>
    <n v="7"/>
    <n v="9"/>
    <n v="0"/>
    <n v="0"/>
    <s v="-"/>
    <s v="-"/>
    <s v="-"/>
    <s v="-"/>
    <n v="0"/>
    <n v="0"/>
    <n v="4"/>
    <n v="0"/>
    <s v="Kolkata Knight Riders"/>
    <s v="Lost"/>
    <s v="IPL25-M051"/>
    <s v="No"/>
    <n v="7.5"/>
  </r>
  <r>
    <s v="IPL25-P440"/>
    <x v="437"/>
    <x v="2"/>
    <x v="2"/>
    <s v="South African"/>
    <x v="2"/>
    <s v="Right-handed"/>
    <s v="None"/>
    <n v="13"/>
    <n v="12"/>
    <n v="3"/>
    <n v="299"/>
    <n v="45"/>
    <n v="33.22"/>
    <n v="183.16"/>
    <n v="0"/>
    <n v="0"/>
    <n v="32"/>
    <n v="27"/>
    <n v="1"/>
    <n v="0"/>
    <s v="-"/>
    <s v="-"/>
    <s v="-"/>
    <s v="-"/>
    <n v="0"/>
    <n v="0"/>
    <n v="7"/>
    <n v="0"/>
    <s v="Kolkata Knight Riders"/>
    <s v="Lost"/>
    <s v="IPL25-M026"/>
    <s v="No"/>
    <n v="0.5"/>
  </r>
  <r>
    <s v="IPL25-P441"/>
    <x v="438"/>
    <x v="0"/>
    <x v="0"/>
    <s v="Indian"/>
    <x v="2"/>
    <s v="Left-handed"/>
    <s v="None"/>
    <n v="9"/>
    <n v="9"/>
    <n v="1"/>
    <n v="245"/>
    <n v="77"/>
    <n v="30.62"/>
    <n v="135.54"/>
    <n v="0"/>
    <n v="0"/>
    <n v="29"/>
    <n v="28"/>
    <n v="0"/>
    <n v="0"/>
    <s v="-"/>
    <s v="-"/>
    <s v="-"/>
    <s v="-"/>
    <n v="0"/>
    <n v="0"/>
    <n v="4"/>
    <n v="0"/>
    <s v="Chennai Super Kings"/>
    <s v="Lost"/>
    <s v="IPL25-M035"/>
    <s v="No"/>
    <n v="15"/>
  </r>
  <r>
    <s v="IPL25-P442"/>
    <x v="439"/>
    <x v="2"/>
    <x v="2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443"/>
    <x v="440"/>
    <x v="3"/>
    <x v="3"/>
    <s v="Pakistani"/>
    <x v="0"/>
    <s v="Right-handed"/>
    <s v="Right-arm Medium"/>
    <n v="13"/>
    <n v="11"/>
    <n v="1"/>
    <n v="68"/>
    <n v="28"/>
    <n v="6.8"/>
    <n v="126"/>
    <n v="0"/>
    <n v="0"/>
    <n v="5"/>
    <n v="3"/>
    <n v="1"/>
    <n v="15"/>
    <n v="29.92"/>
    <n v="10.27"/>
    <n v="15.08"/>
    <s v="5/16"/>
    <n v="0"/>
    <n v="36.299999999999997"/>
    <n v="10"/>
    <n v="0"/>
    <s v="Gujarat Titans"/>
    <s v="Won"/>
    <s v="IPL25-M002"/>
    <s v="No"/>
    <n v="7.5"/>
  </r>
  <r>
    <s v="IPL25-P444"/>
    <x v="441"/>
    <x v="6"/>
    <x v="6"/>
    <s v="South African"/>
    <x v="2"/>
    <s v="Right-handed"/>
    <s v="None"/>
    <n v="13"/>
    <n v="12"/>
    <n v="3"/>
    <n v="299"/>
    <n v="45"/>
    <n v="33.22"/>
    <n v="183.16"/>
    <n v="0"/>
    <n v="0"/>
    <n v="32"/>
    <n v="27"/>
    <n v="1"/>
    <n v="0"/>
    <s v="-"/>
    <s v="-"/>
    <s v="-"/>
    <s v="-"/>
    <n v="0"/>
    <n v="0"/>
    <n v="7"/>
    <n v="0"/>
    <s v="Kolkata Knight Riders"/>
    <s v="Lost"/>
    <s v="IPL25-M026"/>
    <s v="No"/>
    <n v="0.5"/>
  </r>
  <r>
    <s v="IPL25-P445"/>
    <x v="442"/>
    <x v="8"/>
    <x v="8"/>
    <s v="West Indian"/>
    <x v="0"/>
    <s v="Left-handed"/>
    <s v="Right-arm Fast"/>
    <n v="9"/>
    <n v="8"/>
    <n v="2"/>
    <n v="48"/>
    <n v="12"/>
    <n v="8"/>
    <n v="86.1"/>
    <n v="0"/>
    <n v="0"/>
    <n v="4"/>
    <n v="2"/>
    <n v="1"/>
    <n v="7"/>
    <n v="27.59"/>
    <n v="9.11"/>
    <n v="20.6"/>
    <s v="4/30"/>
    <n v="0"/>
    <n v="31.4"/>
    <n v="6"/>
    <n v="0"/>
    <s v="Lucknow Super Giants"/>
    <s v="Won"/>
    <s v="IPL25-M025"/>
    <s v="No"/>
    <n v="10"/>
  </r>
  <r>
    <s v="IPL25-P446"/>
    <x v="443"/>
    <x v="9"/>
    <x v="9"/>
    <s v="Indian"/>
    <x v="0"/>
    <s v="Left-handed"/>
    <s v="Left-arm Spin"/>
    <n v="11"/>
    <n v="10"/>
    <n v="2"/>
    <n v="286"/>
    <n v="23"/>
    <n v="35.75"/>
    <n v="94.88"/>
    <n v="0"/>
    <n v="0"/>
    <n v="23"/>
    <n v="14"/>
    <n v="3"/>
    <n v="14"/>
    <n v="17.82"/>
    <n v="7.13"/>
    <n v="17.84"/>
    <s v="5/30"/>
    <n v="0"/>
    <n v="31.7"/>
    <n v="2"/>
    <n v="0"/>
    <s v="Mumbai Indians"/>
    <s v="Won"/>
    <s v="IPL25-M037"/>
    <s v="No"/>
    <n v="4"/>
  </r>
  <r>
    <s v="IPL25-P447"/>
    <x v="444"/>
    <x v="1"/>
    <x v="1"/>
    <s v="Sri Lankan"/>
    <x v="0"/>
    <s v="Right-handed"/>
    <s v="Left-arm Fast"/>
    <n v="9"/>
    <n v="8"/>
    <n v="1"/>
    <n v="163"/>
    <n v="19"/>
    <n v="23.29"/>
    <n v="115.23"/>
    <n v="0"/>
    <n v="0"/>
    <n v="13"/>
    <n v="8"/>
    <n v="1"/>
    <n v="15"/>
    <n v="22.51"/>
    <n v="6.77"/>
    <n v="14.21"/>
    <s v="2/13"/>
    <n v="0"/>
    <n v="28.2"/>
    <n v="9"/>
    <n v="0"/>
    <s v="Mumbai Indians"/>
    <s v="Won"/>
    <s v="IPL25-M067"/>
    <s v="No"/>
    <n v="15"/>
  </r>
  <r>
    <s v="IPL25-P448"/>
    <x v="445"/>
    <x v="3"/>
    <x v="3"/>
    <s v="Indian"/>
    <x v="2"/>
    <s v="Left-handed"/>
    <s v="None"/>
    <n v="14"/>
    <n v="14"/>
    <n v="0"/>
    <n v="745"/>
    <n v="54"/>
    <n v="53.21"/>
    <n v="147.74"/>
    <n v="1"/>
    <n v="0"/>
    <n v="99"/>
    <n v="62"/>
    <n v="0"/>
    <n v="0"/>
    <s v="-"/>
    <s v="-"/>
    <s v="-"/>
    <s v="-"/>
    <n v="0"/>
    <n v="0"/>
    <n v="9"/>
    <n v="0"/>
    <s v="Mumbai Indians"/>
    <s v="Won"/>
    <s v="IPL25-M067"/>
    <s v="No"/>
    <n v="4"/>
  </r>
  <r>
    <s v="IPL25-P449"/>
    <x v="446"/>
    <x v="0"/>
    <x v="0"/>
    <s v="Pakistani"/>
    <x v="1"/>
    <s v="Left-handed"/>
    <s v="Right-arm Fast"/>
    <n v="9"/>
    <n v="7"/>
    <n v="1"/>
    <n v="124"/>
    <n v="76"/>
    <n v="20.67"/>
    <n v="122.36"/>
    <n v="0"/>
    <n v="0"/>
    <n v="12"/>
    <n v="7"/>
    <n v="0"/>
    <n v="10"/>
    <n v="17.79"/>
    <n v="8.09"/>
    <n v="15.26"/>
    <s v="5/36"/>
    <n v="0"/>
    <n v="26.9"/>
    <n v="2"/>
    <n v="0"/>
    <s v="Punjab Kings"/>
    <s v="Lost"/>
    <s v="IPL25-M070"/>
    <s v="No"/>
    <n v="6"/>
  </r>
  <r>
    <s v="IPL25-P450"/>
    <x v="447"/>
    <x v="5"/>
    <x v="5"/>
    <s v="Pakistani"/>
    <x v="2"/>
    <s v="Left-handed"/>
    <s v="None"/>
    <n v="10"/>
    <n v="8"/>
    <n v="3"/>
    <n v="261"/>
    <n v="65"/>
    <n v="52.2"/>
    <n v="128.86000000000001"/>
    <n v="0"/>
    <n v="0"/>
    <n v="35"/>
    <n v="13"/>
    <n v="0"/>
    <n v="0"/>
    <s v="-"/>
    <s v="-"/>
    <s v="-"/>
    <s v="-"/>
    <n v="0"/>
    <n v="0"/>
    <n v="3"/>
    <n v="0"/>
    <s v="Gujarat Titans"/>
    <s v="Won"/>
    <s v="IPL25-M022"/>
    <s v="No"/>
    <n v="0.4"/>
  </r>
  <r>
    <s v="IPL25-P451"/>
    <x v="448"/>
    <x v="5"/>
    <x v="5"/>
    <s v="Indian"/>
    <x v="0"/>
    <s v="Right-handed"/>
    <s v="Right-arm Fast"/>
    <n v="14"/>
    <n v="13"/>
    <n v="3"/>
    <n v="276"/>
    <n v="29"/>
    <n v="27.6"/>
    <n v="118.29"/>
    <n v="0"/>
    <n v="0"/>
    <n v="23"/>
    <n v="13"/>
    <n v="3"/>
    <n v="31"/>
    <n v="31.07"/>
    <n v="6.57"/>
    <n v="11.4"/>
    <s v="5/28"/>
    <n v="0"/>
    <n v="48.8"/>
    <n v="9"/>
    <n v="0"/>
    <s v="Royal Challengers Bengaluru"/>
    <s v="Won"/>
    <s v="IPL25-M011"/>
    <s v="No"/>
    <n v="12.5"/>
  </r>
  <r>
    <s v="IPL25-P452"/>
    <x v="449"/>
    <x v="8"/>
    <x v="8"/>
    <s v="Indian"/>
    <x v="1"/>
    <s v="Left-handed"/>
    <s v="Right-arm Fast"/>
    <n v="11"/>
    <n v="10"/>
    <n v="3"/>
    <n v="128"/>
    <n v="113"/>
    <n v="18.29"/>
    <n v="159.63999999999999"/>
    <n v="0"/>
    <n v="0"/>
    <n v="11"/>
    <n v="7"/>
    <n v="0"/>
    <n v="13"/>
    <n v="25.11"/>
    <n v="9.69"/>
    <n v="15.6"/>
    <s v="3/34"/>
    <n v="0"/>
    <n v="41.5"/>
    <n v="5"/>
    <n v="0"/>
    <s v="Mumbai Indians"/>
    <s v="Lost"/>
    <s v="IPL25-M058"/>
    <s v="No"/>
    <n v="0.75"/>
  </r>
  <r>
    <s v="IPL25-P453"/>
    <x v="450"/>
    <x v="0"/>
    <x v="0"/>
    <s v="South African"/>
    <x v="0"/>
    <s v="Right-handed"/>
    <s v="Right-arm Off-spin"/>
    <n v="9"/>
    <n v="7"/>
    <n v="0"/>
    <n v="210"/>
    <n v="26"/>
    <n v="30"/>
    <n v="107.06"/>
    <n v="0"/>
    <n v="0"/>
    <n v="17"/>
    <n v="10"/>
    <n v="2"/>
    <n v="20"/>
    <n v="22.15"/>
    <n v="7.7"/>
    <n v="14.58"/>
    <s v="5/23"/>
    <n v="1"/>
    <n v="29.5"/>
    <n v="6"/>
    <n v="0"/>
    <s v="Punjab Kings"/>
    <s v="Lost"/>
    <s v="IPL25-M064"/>
    <s v="Yes"/>
    <n v="0.5"/>
  </r>
  <r>
    <s v="IPL25-P454"/>
    <x v="451"/>
    <x v="7"/>
    <x v="7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455"/>
    <x v="452"/>
    <x v="6"/>
    <x v="6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456"/>
    <x v="453"/>
    <x v="5"/>
    <x v="5"/>
    <s v="Indian"/>
    <x v="1"/>
    <s v="Left-handed"/>
    <s v="Right-arm Fast"/>
    <n v="8"/>
    <n v="6"/>
    <n v="2"/>
    <n v="186"/>
    <n v="37"/>
    <n v="46.5"/>
    <n v="132.41"/>
    <n v="0"/>
    <n v="0"/>
    <n v="19"/>
    <n v="16"/>
    <n v="0"/>
    <n v="15"/>
    <n v="21.6"/>
    <n v="9.6"/>
    <n v="10.41"/>
    <s v="2/16"/>
    <n v="0"/>
    <n v="29.5"/>
    <n v="4"/>
    <n v="0"/>
    <s v="Chennai Super Kings"/>
    <s v="Won"/>
    <s v="IPL25-M042"/>
    <s v="No"/>
    <n v="0.4"/>
  </r>
  <r>
    <s v="IPL25-P457"/>
    <x v="454"/>
    <x v="6"/>
    <x v="6"/>
    <s v="Sri Lankan"/>
    <x v="0"/>
    <s v="Left-handed"/>
    <s v="Left-arm Medium"/>
    <n v="13"/>
    <n v="13"/>
    <n v="0"/>
    <n v="186"/>
    <n v="39"/>
    <n v="14.31"/>
    <n v="125.79"/>
    <n v="0"/>
    <n v="0"/>
    <n v="15"/>
    <n v="9"/>
    <n v="2"/>
    <n v="14"/>
    <n v="23.48"/>
    <n v="7.48"/>
    <n v="14.57"/>
    <s v="3/13"/>
    <n v="0"/>
    <n v="44.2"/>
    <n v="10"/>
    <n v="0"/>
    <s v="Punjab Kings"/>
    <s v="Lost"/>
    <s v="IPL25-M007"/>
    <s v="No"/>
    <n v="0.4"/>
  </r>
  <r>
    <s v="IPL25-P458"/>
    <x v="455"/>
    <x v="7"/>
    <x v="7"/>
    <s v="Indian"/>
    <x v="2"/>
    <s v="Right-handed"/>
    <s v="None"/>
    <n v="13"/>
    <n v="12"/>
    <n v="3"/>
    <n v="314"/>
    <n v="33"/>
    <n v="34.89"/>
    <n v="167.53"/>
    <n v="0"/>
    <n v="0"/>
    <n v="31"/>
    <n v="31"/>
    <n v="0"/>
    <n v="0"/>
    <s v="-"/>
    <s v="-"/>
    <s v="-"/>
    <s v="-"/>
    <n v="0"/>
    <n v="0"/>
    <n v="11"/>
    <n v="0"/>
    <s v="Lucknow Super Giants"/>
    <s v="Won"/>
    <s v="IPL25-M016"/>
    <s v="No"/>
    <n v="2"/>
  </r>
  <r>
    <s v="IPL25-P459"/>
    <x v="456"/>
    <x v="8"/>
    <x v="8"/>
    <s v="South African"/>
    <x v="2"/>
    <s v="Left-handed"/>
    <s v="None"/>
    <n v="13"/>
    <n v="11"/>
    <n v="3"/>
    <n v="368"/>
    <n v="79"/>
    <n v="46"/>
    <n v="157.30000000000001"/>
    <n v="0"/>
    <n v="0"/>
    <n v="34"/>
    <n v="21"/>
    <n v="0"/>
    <n v="0"/>
    <s v="-"/>
    <s v="-"/>
    <s v="-"/>
    <s v="-"/>
    <n v="0"/>
    <n v="0"/>
    <n v="12"/>
    <n v="0"/>
    <s v="Delhi Capitals"/>
    <s v="Lost"/>
    <s v="IPL25-M030"/>
    <s v="No"/>
    <n v="15"/>
  </r>
  <r>
    <s v="IPL25-P460"/>
    <x v="457"/>
    <x v="4"/>
    <x v="4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461"/>
    <x v="458"/>
    <x v="3"/>
    <x v="3"/>
    <s v="Indian"/>
    <x v="2"/>
    <s v="Right-handed"/>
    <s v="None"/>
    <n v="11"/>
    <n v="11"/>
    <n v="3"/>
    <n v="341"/>
    <n v="30"/>
    <n v="42.62"/>
    <n v="139.97999999999999"/>
    <n v="0"/>
    <n v="0"/>
    <n v="39"/>
    <n v="40"/>
    <n v="0"/>
    <n v="0"/>
    <s v="-"/>
    <s v="-"/>
    <s v="-"/>
    <s v="-"/>
    <n v="0"/>
    <n v="0"/>
    <n v="8"/>
    <n v="0"/>
    <s v="Punjab Kings"/>
    <s v="Won"/>
    <s v="IPL25-M003"/>
    <s v="No"/>
    <n v="0.2"/>
  </r>
  <r>
    <s v="IPL25-P462"/>
    <x v="459"/>
    <x v="8"/>
    <x v="8"/>
    <s v="Sri Lankan"/>
    <x v="1"/>
    <s v="Right-handed"/>
    <s v="Right-arm Fast"/>
    <n v="10"/>
    <n v="10"/>
    <n v="1"/>
    <n v="394"/>
    <n v="49"/>
    <n v="43.78"/>
    <n v="123.16"/>
    <n v="0"/>
    <n v="0"/>
    <n v="37"/>
    <n v="43"/>
    <n v="0"/>
    <n v="8"/>
    <n v="15.43"/>
    <n v="8.61"/>
    <n v="18.29"/>
    <s v="4/36"/>
    <n v="0"/>
    <n v="33"/>
    <n v="4"/>
    <n v="0"/>
    <s v="Rajasthan Royals"/>
    <s v="Won"/>
    <s v="IPL25-M019"/>
    <s v="No"/>
    <n v="0.2"/>
  </r>
  <r>
    <s v="IPL25-P463"/>
    <x v="460"/>
    <x v="4"/>
    <x v="4"/>
    <s v="Indian"/>
    <x v="1"/>
    <s v="Right-handed"/>
    <s v="Right-arm Medium"/>
    <n v="13"/>
    <n v="13"/>
    <n v="1"/>
    <n v="645"/>
    <n v="54"/>
    <n v="53.75"/>
    <n v="147.24"/>
    <n v="1"/>
    <n v="0"/>
    <n v="84"/>
    <n v="49"/>
    <n v="0"/>
    <n v="6"/>
    <n v="34.61"/>
    <n v="7.28"/>
    <n v="18.61"/>
    <s v="3/20"/>
    <n v="0"/>
    <n v="42.9"/>
    <n v="8"/>
    <n v="0"/>
    <s v="Delhi Capitals"/>
    <s v="Won"/>
    <s v="IPL25-M013"/>
    <s v="No"/>
    <n v="2"/>
  </r>
  <r>
    <s v="IPL25-P464"/>
    <x v="461"/>
    <x v="1"/>
    <x v="1"/>
    <s v="Indian"/>
    <x v="1"/>
    <s v="Right-handed"/>
    <s v="Right-arm Medium"/>
    <n v="14"/>
    <n v="12"/>
    <n v="0"/>
    <n v="636"/>
    <n v="88"/>
    <n v="53"/>
    <n v="183.11"/>
    <n v="1"/>
    <n v="0"/>
    <n v="54"/>
    <n v="70"/>
    <n v="1"/>
    <n v="16"/>
    <n v="22.19"/>
    <n v="8.6999999999999993"/>
    <n v="17.190000000000001"/>
    <s v="4/10"/>
    <n v="0"/>
    <n v="46.5"/>
    <n v="10"/>
    <n v="0"/>
    <s v="Rajasthan Royals"/>
    <s v="Won"/>
    <s v="IPL25-M027"/>
    <s v="No"/>
    <n v="0.75"/>
  </r>
  <r>
    <s v="IPL25-P465"/>
    <x v="462"/>
    <x v="1"/>
    <x v="1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466"/>
    <x v="463"/>
    <x v="0"/>
    <x v="0"/>
    <s v="Indian"/>
    <x v="1"/>
    <s v="Right-handed"/>
    <s v="Right-arm Leg-spin"/>
    <n v="9"/>
    <n v="7"/>
    <n v="3"/>
    <n v="167"/>
    <n v="110"/>
    <n v="41.75"/>
    <n v="111.25"/>
    <n v="0"/>
    <n v="0"/>
    <n v="21"/>
    <n v="6"/>
    <n v="0"/>
    <n v="8"/>
    <n v="15.6"/>
    <n v="9.41"/>
    <n v="11.55"/>
    <s v="5/18"/>
    <n v="0"/>
    <n v="23.3"/>
    <n v="4"/>
    <n v="0"/>
    <s v="Sunrisers Hyderabad"/>
    <s v="Won"/>
    <s v="IPL25-M048"/>
    <s v="No"/>
    <n v="4"/>
  </r>
  <r>
    <s v="IPL25-P467"/>
    <x v="464"/>
    <x v="3"/>
    <x v="3"/>
    <s v="Indian"/>
    <x v="1"/>
    <s v="Left-handed"/>
    <s v="Right-arm Leg-spin"/>
    <n v="13"/>
    <n v="13"/>
    <n v="0"/>
    <n v="687"/>
    <n v="42"/>
    <n v="52.85"/>
    <n v="167.89"/>
    <n v="1"/>
    <n v="0"/>
    <n v="74"/>
    <n v="38"/>
    <n v="1"/>
    <n v="22"/>
    <n v="15.25"/>
    <n v="7.43"/>
    <n v="12.26"/>
    <s v="2/38"/>
    <n v="0"/>
    <n v="43.8"/>
    <n v="3"/>
    <n v="0"/>
    <s v="Kolkata Knight Riders"/>
    <s v="Lost"/>
    <s v="IPL25-M023"/>
    <s v="No"/>
    <n v="6"/>
  </r>
  <r>
    <s v="IPL25-P468"/>
    <x v="465"/>
    <x v="9"/>
    <x v="9"/>
    <s v="Indian"/>
    <x v="2"/>
    <s v="Right-handed"/>
    <s v="None"/>
    <n v="13"/>
    <n v="13"/>
    <n v="2"/>
    <n v="596"/>
    <n v="59"/>
    <n v="54.18"/>
    <n v="126.16"/>
    <n v="0"/>
    <n v="0"/>
    <n v="56"/>
    <n v="50"/>
    <n v="0"/>
    <n v="0"/>
    <s v="-"/>
    <s v="-"/>
    <s v="-"/>
    <s v="-"/>
    <n v="0"/>
    <n v="0"/>
    <n v="9"/>
    <n v="0"/>
    <s v="Royal Challengers Bengaluru"/>
    <s v="Lost"/>
    <s v="IPL25-M049"/>
    <s v="No"/>
    <n v="3"/>
  </r>
  <r>
    <s v="IPL25-P469"/>
    <x v="466"/>
    <x v="4"/>
    <x v="4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470"/>
    <x v="467"/>
    <x v="1"/>
    <x v="1"/>
    <s v="Indian"/>
    <x v="2"/>
    <s v="Left-handed"/>
    <s v="None"/>
    <n v="9"/>
    <n v="9"/>
    <n v="3"/>
    <n v="185"/>
    <n v="64"/>
    <n v="30.83"/>
    <n v="176.77"/>
    <n v="0"/>
    <n v="0"/>
    <n v="17"/>
    <n v="7"/>
    <n v="0"/>
    <n v="0"/>
    <s v="-"/>
    <s v="-"/>
    <s v="-"/>
    <s v="-"/>
    <n v="0"/>
    <n v="0"/>
    <n v="9"/>
    <n v="0"/>
    <s v="Royal Challengers Bengaluru"/>
    <s v="Won"/>
    <s v="IPL25-M038"/>
    <s v="No"/>
    <n v="1"/>
  </r>
  <r>
    <s v="IPL25-P471"/>
    <x v="468"/>
    <x v="8"/>
    <x v="8"/>
    <s v="Indian"/>
    <x v="2"/>
    <s v="Left-handed"/>
    <s v="None"/>
    <n v="9"/>
    <n v="9"/>
    <n v="3"/>
    <n v="185"/>
    <n v="64"/>
    <n v="30.83"/>
    <n v="176.77"/>
    <n v="0"/>
    <n v="0"/>
    <n v="17"/>
    <n v="7"/>
    <n v="0"/>
    <n v="0"/>
    <s v="-"/>
    <s v="-"/>
    <s v="-"/>
    <s v="-"/>
    <n v="0"/>
    <n v="0"/>
    <n v="9"/>
    <n v="0"/>
    <s v="Royal Challengers Bengaluru"/>
    <s v="Won"/>
    <s v="IPL25-M038"/>
    <s v="No"/>
    <n v="1"/>
  </r>
  <r>
    <s v="IPL25-P472"/>
    <x v="469"/>
    <x v="9"/>
    <x v="9"/>
    <s v="Afghan"/>
    <x v="2"/>
    <s v="Left-handed"/>
    <s v="None"/>
    <n v="9"/>
    <n v="9"/>
    <n v="3"/>
    <n v="173"/>
    <n v="99"/>
    <n v="28.83"/>
    <n v="126.79"/>
    <n v="0"/>
    <n v="0"/>
    <n v="22"/>
    <n v="19"/>
    <n v="0"/>
    <n v="0"/>
    <s v="-"/>
    <s v="-"/>
    <s v="-"/>
    <s v="-"/>
    <n v="0"/>
    <n v="0"/>
    <n v="3"/>
    <n v="0"/>
    <s v="Chennai Super Kings"/>
    <s v="Won"/>
    <s v="IPL25-M042"/>
    <s v="No"/>
    <n v="7.5"/>
  </r>
  <r>
    <s v="IPL25-P473"/>
    <x v="470"/>
    <x v="0"/>
    <x v="0"/>
    <s v="West Indian"/>
    <x v="2"/>
    <s v="Left-handed"/>
    <s v="None"/>
    <n v="8"/>
    <n v="7"/>
    <n v="2"/>
    <n v="238"/>
    <n v="50"/>
    <n v="47.6"/>
    <n v="143.96"/>
    <n v="0"/>
    <n v="0"/>
    <n v="30"/>
    <n v="9"/>
    <n v="0"/>
    <n v="0"/>
    <s v="-"/>
    <s v="-"/>
    <s v="-"/>
    <s v="-"/>
    <n v="0"/>
    <n v="0"/>
    <n v="2"/>
    <n v="0"/>
    <s v="Delhi Capitals"/>
    <s v="Lost"/>
    <s v="IPL25-M004"/>
    <s v="No"/>
    <n v="10"/>
  </r>
  <r>
    <s v="IPL25-P474"/>
    <x v="471"/>
    <x v="8"/>
    <x v="8"/>
    <s v="Afghan"/>
    <x v="2"/>
    <s v="Right-handed"/>
    <s v="None"/>
    <n v="14"/>
    <n v="12"/>
    <n v="1"/>
    <n v="580"/>
    <n v="64"/>
    <n v="52.73"/>
    <n v="127.09"/>
    <n v="0"/>
    <n v="0"/>
    <n v="46"/>
    <n v="33"/>
    <n v="0"/>
    <n v="0"/>
    <s v="-"/>
    <s v="-"/>
    <s v="-"/>
    <s v="-"/>
    <n v="0"/>
    <n v="0"/>
    <n v="4"/>
    <n v="0"/>
    <s v="Chennai Super Kings"/>
    <s v="Lost"/>
    <s v="IPL25-M022"/>
    <s v="No"/>
    <n v="4"/>
  </r>
  <r>
    <s v="IPL25-P475"/>
    <x v="472"/>
    <x v="4"/>
    <x v="4"/>
    <s v="Indian"/>
    <x v="0"/>
    <s v="Left-handed"/>
    <s v="Right-arm Fast"/>
    <n v="9"/>
    <n v="8"/>
    <n v="2"/>
    <n v="173"/>
    <n v="37"/>
    <n v="28.83"/>
    <n v="127.32"/>
    <n v="0"/>
    <n v="0"/>
    <n v="14"/>
    <n v="8"/>
    <n v="3"/>
    <n v="6"/>
    <n v="15.44"/>
    <n v="8.42"/>
    <n v="19.11"/>
    <s v="3/18"/>
    <n v="0"/>
    <n v="31.6"/>
    <n v="2"/>
    <n v="0"/>
    <s v="Lucknow Super Giants"/>
    <s v="Lost"/>
    <s v="IPL25-M029"/>
    <s v="No"/>
    <n v="6"/>
  </r>
  <r>
    <s v="IPL25-P476"/>
    <x v="473"/>
    <x v="6"/>
    <x v="6"/>
    <s v="Indian"/>
    <x v="2"/>
    <s v="Left-handed"/>
    <s v="None"/>
    <n v="12"/>
    <n v="11"/>
    <n v="1"/>
    <n v="461"/>
    <n v="77"/>
    <n v="46.1"/>
    <n v="115.23"/>
    <n v="0"/>
    <n v="0"/>
    <n v="40"/>
    <n v="35"/>
    <n v="0"/>
    <n v="0"/>
    <s v="-"/>
    <s v="-"/>
    <s v="-"/>
    <s v="-"/>
    <n v="0"/>
    <n v="0"/>
    <n v="2"/>
    <n v="0"/>
    <s v="Lucknow Super Giants"/>
    <s v="Lost"/>
    <s v="IPL25-M024"/>
    <s v="No"/>
    <n v="18"/>
  </r>
  <r>
    <s v="IPL25-P477"/>
    <x v="474"/>
    <x v="0"/>
    <x v="0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478"/>
    <x v="475"/>
    <x v="8"/>
    <x v="8"/>
    <s v="Indian"/>
    <x v="1"/>
    <s v="Left-handed"/>
    <s v="Right-arm Fast"/>
    <n v="11"/>
    <n v="10"/>
    <n v="3"/>
    <n v="128"/>
    <n v="113"/>
    <n v="18.29"/>
    <n v="159.63999999999999"/>
    <n v="0"/>
    <n v="0"/>
    <n v="11"/>
    <n v="7"/>
    <n v="0"/>
    <n v="13"/>
    <n v="25.11"/>
    <n v="9.69"/>
    <n v="15.6"/>
    <s v="3/34"/>
    <n v="0"/>
    <n v="41.5"/>
    <n v="5"/>
    <n v="0"/>
    <s v="Mumbai Indians"/>
    <s v="Lost"/>
    <s v="IPL25-M058"/>
    <s v="No"/>
    <n v="0.75"/>
  </r>
  <r>
    <s v="IPL25-P479"/>
    <x v="476"/>
    <x v="7"/>
    <x v="7"/>
    <s v="Indian"/>
    <x v="0"/>
    <s v="Right-handed"/>
    <s v="Left-arm Spin"/>
    <n v="8"/>
    <n v="7"/>
    <n v="3"/>
    <n v="80"/>
    <n v="18"/>
    <n v="20"/>
    <n v="104.74"/>
    <n v="0"/>
    <n v="0"/>
    <n v="6"/>
    <n v="4"/>
    <n v="2"/>
    <n v="7"/>
    <n v="31.15"/>
    <n v="10.06"/>
    <n v="15.87"/>
    <s v="5/15"/>
    <n v="0"/>
    <n v="29.7"/>
    <n v="3"/>
    <n v="0"/>
    <s v="Rajasthan Royals"/>
    <s v="Won"/>
    <s v="IPL25-M054"/>
    <s v="No"/>
    <n v="1"/>
  </r>
  <r>
    <s v="IPL25-P480"/>
    <x v="477"/>
    <x v="9"/>
    <x v="9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481"/>
    <x v="478"/>
    <x v="9"/>
    <x v="9"/>
    <s v="Sri Lankan"/>
    <x v="1"/>
    <s v="Right-handed"/>
    <s v="Right-arm Fast"/>
    <n v="10"/>
    <n v="10"/>
    <n v="1"/>
    <n v="394"/>
    <n v="49"/>
    <n v="43.78"/>
    <n v="123.16"/>
    <n v="0"/>
    <n v="0"/>
    <n v="37"/>
    <n v="43"/>
    <n v="0"/>
    <n v="8"/>
    <n v="15.43"/>
    <n v="8.61"/>
    <n v="18.29"/>
    <s v="4/36"/>
    <n v="0"/>
    <n v="33"/>
    <n v="4"/>
    <n v="0"/>
    <s v="Rajasthan Royals"/>
    <s v="Won"/>
    <s v="IPL25-M019"/>
    <s v="No"/>
    <n v="0.2"/>
  </r>
  <r>
    <s v="IPL25-P482"/>
    <x v="479"/>
    <x v="1"/>
    <x v="1"/>
    <s v="Indian"/>
    <x v="0"/>
    <s v="Right-handed"/>
    <s v="Left-arm Fast"/>
    <n v="14"/>
    <n v="14"/>
    <n v="2"/>
    <n v="293"/>
    <n v="8"/>
    <n v="24.42"/>
    <n v="106.17"/>
    <n v="0"/>
    <n v="0"/>
    <n v="24"/>
    <n v="14"/>
    <n v="0"/>
    <n v="18"/>
    <n v="14.73"/>
    <n v="6.84"/>
    <n v="13.41"/>
    <s v="5/14"/>
    <n v="0"/>
    <n v="36.200000000000003"/>
    <n v="13"/>
    <n v="0"/>
    <s v="Gujarat Titans"/>
    <s v="Lost"/>
    <s v="IPL25-M063"/>
    <s v="No"/>
    <n v="0.5"/>
  </r>
  <r>
    <s v="IPL25-P483"/>
    <x v="480"/>
    <x v="2"/>
    <x v="2"/>
    <s v="Sri Lankan"/>
    <x v="0"/>
    <s v="Right-handed"/>
    <s v="Left-arm Fast"/>
    <n v="9"/>
    <n v="8"/>
    <n v="1"/>
    <n v="163"/>
    <n v="19"/>
    <n v="23.29"/>
    <n v="115.23"/>
    <n v="0"/>
    <n v="0"/>
    <n v="13"/>
    <n v="8"/>
    <n v="1"/>
    <n v="15"/>
    <n v="22.51"/>
    <n v="6.77"/>
    <n v="14.21"/>
    <s v="2/13"/>
    <n v="0"/>
    <n v="28.2"/>
    <n v="9"/>
    <n v="0"/>
    <s v="Mumbai Indians"/>
    <s v="Won"/>
    <s v="IPL25-M067"/>
    <s v="No"/>
    <n v="15"/>
  </r>
  <r>
    <s v="IPL25-P484"/>
    <x v="481"/>
    <x v="6"/>
    <x v="6"/>
    <s v="Indian"/>
    <x v="1"/>
    <s v="Right-handed"/>
    <s v="Right-arm Medium"/>
    <n v="14"/>
    <n v="12"/>
    <n v="0"/>
    <n v="636"/>
    <n v="88"/>
    <n v="53"/>
    <n v="183.11"/>
    <n v="1"/>
    <n v="0"/>
    <n v="54"/>
    <n v="70"/>
    <n v="1"/>
    <n v="16"/>
    <n v="22.19"/>
    <n v="8.6999999999999993"/>
    <n v="17.190000000000001"/>
    <s v="4/10"/>
    <n v="0"/>
    <n v="46.5"/>
    <n v="10"/>
    <n v="0"/>
    <s v="Rajasthan Royals"/>
    <s v="Won"/>
    <s v="IPL25-M027"/>
    <s v="No"/>
    <n v="0.75"/>
  </r>
  <r>
    <s v="IPL25-P485"/>
    <x v="482"/>
    <x v="7"/>
    <x v="7"/>
    <s v="Bangladeshi"/>
    <x v="2"/>
    <s v="Right-handed"/>
    <s v="None"/>
    <n v="9"/>
    <n v="8"/>
    <n v="3"/>
    <n v="159"/>
    <n v="42"/>
    <n v="31.8"/>
    <n v="113.8"/>
    <n v="0"/>
    <n v="0"/>
    <n v="14"/>
    <n v="6"/>
    <n v="0"/>
    <n v="0"/>
    <s v="-"/>
    <s v="-"/>
    <s v="-"/>
    <s v="-"/>
    <n v="0"/>
    <n v="0"/>
    <n v="5"/>
    <n v="0"/>
    <s v="Gujarat Titans"/>
    <s v="Lost"/>
    <s v="IPL25-M012"/>
    <s v="Yes"/>
    <n v="12.5"/>
  </r>
  <r>
    <s v="IPL25-P486"/>
    <x v="483"/>
    <x v="7"/>
    <x v="7"/>
    <s v="Indian"/>
    <x v="0"/>
    <s v="Left-handed"/>
    <s v="Left-arm Medium"/>
    <n v="12"/>
    <n v="10"/>
    <n v="1"/>
    <n v="25"/>
    <n v="7"/>
    <n v="2.78"/>
    <n v="102.28"/>
    <n v="0"/>
    <n v="0"/>
    <n v="2"/>
    <n v="1"/>
    <n v="2"/>
    <n v="18"/>
    <n v="20.57"/>
    <n v="9.49"/>
    <n v="16.59"/>
    <s v="5/42"/>
    <n v="0"/>
    <n v="43"/>
    <n v="11"/>
    <n v="0"/>
    <s v="Royal Challengers Bengaluru"/>
    <s v="Lost"/>
    <s v="IPL25-M013"/>
    <s v="No"/>
    <n v="0.75"/>
  </r>
  <r>
    <s v="IPL25-P487"/>
    <x v="484"/>
    <x v="3"/>
    <x v="3"/>
    <s v="Afghan"/>
    <x v="2"/>
    <s v="Right-handed"/>
    <s v="None"/>
    <n v="14"/>
    <n v="12"/>
    <n v="1"/>
    <n v="580"/>
    <n v="64"/>
    <n v="52.73"/>
    <n v="127.09"/>
    <n v="0"/>
    <n v="0"/>
    <n v="46"/>
    <n v="33"/>
    <n v="0"/>
    <n v="0"/>
    <s v="-"/>
    <s v="-"/>
    <s v="-"/>
    <s v="-"/>
    <n v="0"/>
    <n v="0"/>
    <n v="4"/>
    <n v="0"/>
    <s v="Chennai Super Kings"/>
    <s v="Lost"/>
    <s v="IPL25-M022"/>
    <s v="No"/>
    <n v="4"/>
  </r>
  <r>
    <s v="IPL25-P488"/>
    <x v="485"/>
    <x v="6"/>
    <x v="6"/>
    <s v="Sri Lankan"/>
    <x v="0"/>
    <s v="Left-handed"/>
    <s v="Right-arm Off-spin"/>
    <n v="12"/>
    <n v="10"/>
    <n v="1"/>
    <n v="95"/>
    <n v="17"/>
    <n v="10.56"/>
    <n v="93.33"/>
    <n v="0"/>
    <n v="0"/>
    <n v="7"/>
    <n v="4"/>
    <n v="2"/>
    <n v="6"/>
    <n v="32.340000000000003"/>
    <n v="9.19"/>
    <n v="18.239999999999998"/>
    <s v="3/24"/>
    <n v="0"/>
    <n v="41.7"/>
    <n v="9"/>
    <n v="0"/>
    <s v="Gujarat Titans"/>
    <s v="Won"/>
    <s v="IPL25-M031"/>
    <s v="No"/>
    <n v="18"/>
  </r>
  <r>
    <s v="IPL25-P489"/>
    <x v="486"/>
    <x v="2"/>
    <x v="2"/>
    <s v="Indian"/>
    <x v="2"/>
    <s v="Right-handed"/>
    <s v="None"/>
    <n v="9"/>
    <n v="9"/>
    <n v="1"/>
    <n v="187"/>
    <n v="109"/>
    <n v="23.38"/>
    <n v="162.22"/>
    <n v="0"/>
    <n v="0"/>
    <n v="20"/>
    <n v="7"/>
    <n v="0"/>
    <n v="0"/>
    <s v="-"/>
    <s v="-"/>
    <s v="-"/>
    <s v="-"/>
    <n v="0"/>
    <n v="0"/>
    <n v="9"/>
    <n v="0"/>
    <s v="Royal Challengers Bengaluru"/>
    <s v="Lost"/>
    <s v="IPL25-M003"/>
    <s v="No"/>
    <n v="7.5"/>
  </r>
  <r>
    <s v="IPL25-P490"/>
    <x v="487"/>
    <x v="1"/>
    <x v="1"/>
    <s v="Indian"/>
    <x v="2"/>
    <s v="Left-handed"/>
    <s v="None"/>
    <n v="13"/>
    <n v="11"/>
    <n v="3"/>
    <n v="405"/>
    <n v="118"/>
    <n v="50.62"/>
    <n v="174.41"/>
    <n v="0"/>
    <n v="0"/>
    <n v="36"/>
    <n v="28"/>
    <n v="1"/>
    <n v="0"/>
    <s v="-"/>
    <s v="-"/>
    <s v="-"/>
    <s v="-"/>
    <n v="0"/>
    <n v="0"/>
    <n v="8"/>
    <n v="0"/>
    <s v="Gujarat Titans"/>
    <s v="Lost"/>
    <s v="IPL25-M005"/>
    <s v="No"/>
    <n v="15"/>
  </r>
  <r>
    <s v="IPL25-P491"/>
    <x v="488"/>
    <x v="5"/>
    <x v="5"/>
    <s v="Indian"/>
    <x v="2"/>
    <s v="Right-handed"/>
    <s v="None"/>
    <n v="8"/>
    <n v="6"/>
    <n v="3"/>
    <n v="92"/>
    <n v="68"/>
    <n v="30.67"/>
    <n v="154.18"/>
    <n v="0"/>
    <n v="0"/>
    <n v="7"/>
    <n v="9"/>
    <n v="0"/>
    <n v="0"/>
    <s v="-"/>
    <s v="-"/>
    <s v="-"/>
    <s v="-"/>
    <n v="0"/>
    <n v="0"/>
    <n v="4"/>
    <n v="0"/>
    <s v="Kolkata Knight Riders"/>
    <s v="Lost"/>
    <s v="IPL25-M051"/>
    <s v="No"/>
    <n v="7.5"/>
  </r>
  <r>
    <s v="IPL25-P492"/>
    <x v="489"/>
    <x v="5"/>
    <x v="5"/>
    <s v="English"/>
    <x v="0"/>
    <s v="Left-handed"/>
    <s v="Right-arm Fast"/>
    <n v="10"/>
    <n v="9"/>
    <n v="3"/>
    <n v="233"/>
    <n v="19"/>
    <n v="38.83"/>
    <n v="98.06"/>
    <n v="0"/>
    <n v="0"/>
    <n v="19"/>
    <n v="11"/>
    <n v="2"/>
    <n v="16"/>
    <n v="29.46"/>
    <n v="9.92"/>
    <n v="15.9"/>
    <s v="4/20"/>
    <n v="0"/>
    <n v="34"/>
    <n v="4"/>
    <n v="0"/>
    <s v="Delhi Capitals"/>
    <s v="Won"/>
    <s v="IPL25-M007"/>
    <s v="No"/>
    <n v="18"/>
  </r>
  <r>
    <s v="IPL25-P493"/>
    <x v="490"/>
    <x v="0"/>
    <x v="0"/>
    <s v="Indian"/>
    <x v="1"/>
    <s v="Left-handed"/>
    <s v="Left-arm Medium"/>
    <n v="14"/>
    <n v="13"/>
    <n v="2"/>
    <n v="494"/>
    <n v="37"/>
    <n v="44.91"/>
    <n v="164.49"/>
    <n v="0"/>
    <n v="0"/>
    <n v="67"/>
    <n v="25"/>
    <n v="0"/>
    <n v="8"/>
    <n v="24.43"/>
    <n v="9.48"/>
    <n v="16.11"/>
    <s v="3/21"/>
    <n v="0"/>
    <n v="49.1"/>
    <n v="11"/>
    <n v="0"/>
    <s v="Punjab Kings"/>
    <s v="Lost"/>
    <s v="IPL25-M065"/>
    <s v="Yes"/>
    <n v="0.4"/>
  </r>
  <r>
    <s v="IPL25-P494"/>
    <x v="491"/>
    <x v="0"/>
    <x v="0"/>
    <s v="Indian"/>
    <x v="1"/>
    <s v="Right-handed"/>
    <s v="Left-arm Medium"/>
    <n v="8"/>
    <n v="6"/>
    <n v="3"/>
    <n v="122"/>
    <n v="102"/>
    <n v="40.67"/>
    <n v="167.6"/>
    <n v="0"/>
    <n v="0"/>
    <n v="14"/>
    <n v="13"/>
    <n v="0"/>
    <n v="3"/>
    <n v="17.670000000000002"/>
    <n v="6.57"/>
    <n v="13.32"/>
    <s v="2/41"/>
    <n v="0"/>
    <n v="29.9"/>
    <n v="8"/>
    <n v="0"/>
    <s v="Sunrisers Hyderabad"/>
    <s v="Won"/>
    <s v="IPL25-M026"/>
    <s v="Yes"/>
    <n v="18"/>
  </r>
  <r>
    <s v="IPL25-P495"/>
    <x v="492"/>
    <x v="2"/>
    <x v="2"/>
    <s v="South African"/>
    <x v="2"/>
    <s v="Right-handed"/>
    <s v="None"/>
    <n v="13"/>
    <n v="12"/>
    <n v="3"/>
    <n v="299"/>
    <n v="45"/>
    <n v="33.22"/>
    <n v="183.16"/>
    <n v="0"/>
    <n v="0"/>
    <n v="32"/>
    <n v="27"/>
    <n v="1"/>
    <n v="0"/>
    <s v="-"/>
    <s v="-"/>
    <s v="-"/>
    <s v="-"/>
    <n v="0"/>
    <n v="0"/>
    <n v="7"/>
    <n v="0"/>
    <s v="Kolkata Knight Riders"/>
    <s v="Lost"/>
    <s v="IPL25-M026"/>
    <s v="No"/>
    <n v="0.5"/>
  </r>
  <r>
    <s v="IPL25-P496"/>
    <x v="493"/>
    <x v="4"/>
    <x v="4"/>
    <s v="Indian"/>
    <x v="0"/>
    <s v="Left-handed"/>
    <s v="Left-arm Spin"/>
    <n v="13"/>
    <n v="12"/>
    <n v="1"/>
    <n v="100"/>
    <n v="17"/>
    <n v="9.09"/>
    <n v="124.13"/>
    <n v="0"/>
    <n v="0"/>
    <n v="8"/>
    <n v="5"/>
    <n v="0"/>
    <n v="31"/>
    <n v="26.69"/>
    <n v="7.88"/>
    <n v="19.760000000000002"/>
    <s v="2/13"/>
    <n v="0"/>
    <n v="37.299999999999997"/>
    <n v="11"/>
    <n v="0"/>
    <s v="Rajasthan Royals"/>
    <s v="Won"/>
    <s v="IPL25-M043"/>
    <s v="Yes"/>
    <n v="21"/>
  </r>
  <r>
    <s v="IPL25-P497"/>
    <x v="494"/>
    <x v="4"/>
    <x v="4"/>
    <s v="Indian"/>
    <x v="2"/>
    <s v="Left-handed"/>
    <s v="None"/>
    <n v="10"/>
    <n v="10"/>
    <n v="2"/>
    <n v="234"/>
    <n v="95"/>
    <n v="29.25"/>
    <n v="119.12"/>
    <n v="0"/>
    <n v="0"/>
    <n v="23"/>
    <n v="26"/>
    <n v="0"/>
    <n v="0"/>
    <s v="-"/>
    <s v="-"/>
    <s v="-"/>
    <s v="-"/>
    <n v="0"/>
    <n v="0"/>
    <n v="10"/>
    <n v="0"/>
    <s v="Lucknow Super Giants"/>
    <s v="Won"/>
    <s v="IPL25-M046"/>
    <s v="Yes"/>
    <n v="0.4"/>
  </r>
  <r>
    <s v="IPL25-P498"/>
    <x v="495"/>
    <x v="4"/>
    <x v="4"/>
    <s v="Indian"/>
    <x v="0"/>
    <s v="Left-handed"/>
    <s v="Left-arm Medium"/>
    <n v="12"/>
    <n v="11"/>
    <n v="0"/>
    <n v="98"/>
    <n v="18"/>
    <n v="8.91"/>
    <n v="129.94999999999999"/>
    <n v="0"/>
    <n v="0"/>
    <n v="8"/>
    <n v="4"/>
    <n v="2"/>
    <n v="21"/>
    <n v="19.3"/>
    <n v="8.65"/>
    <n v="15.99"/>
    <s v="4/14"/>
    <n v="0"/>
    <n v="40.9"/>
    <n v="5"/>
    <n v="0"/>
    <s v="Kolkata Knight Riders"/>
    <s v="Lost"/>
    <s v="IPL25-M026"/>
    <s v="No"/>
    <n v="2"/>
  </r>
  <r>
    <s v="IPL25-P499"/>
    <x v="496"/>
    <x v="1"/>
    <x v="1"/>
    <s v="Indian"/>
    <x v="0"/>
    <s v="Right-handed"/>
    <s v="Left-arm Spin"/>
    <n v="8"/>
    <n v="7"/>
    <n v="3"/>
    <n v="80"/>
    <n v="18"/>
    <n v="20"/>
    <n v="104.74"/>
    <n v="0"/>
    <n v="0"/>
    <n v="6"/>
    <n v="4"/>
    <n v="2"/>
    <n v="7"/>
    <n v="31.15"/>
    <n v="10.06"/>
    <n v="15.87"/>
    <s v="5/15"/>
    <n v="0"/>
    <n v="29.7"/>
    <n v="3"/>
    <n v="0"/>
    <s v="Rajasthan Royals"/>
    <s v="Won"/>
    <s v="IPL25-M054"/>
    <s v="No"/>
    <n v="1"/>
  </r>
  <r>
    <s v="IPL25-P500"/>
    <x v="497"/>
    <x v="1"/>
    <x v="1"/>
    <s v="Pakistani"/>
    <x v="2"/>
    <s v="Right-handed"/>
    <s v="None"/>
    <n v="8"/>
    <n v="8"/>
    <n v="3"/>
    <n v="170"/>
    <n v="56"/>
    <n v="34"/>
    <n v="174.15"/>
    <n v="0"/>
    <n v="0"/>
    <n v="20"/>
    <n v="20"/>
    <n v="0"/>
    <n v="0"/>
    <s v="-"/>
    <s v="-"/>
    <s v="-"/>
    <s v="-"/>
    <n v="0"/>
    <n v="0"/>
    <n v="8"/>
    <n v="0"/>
    <s v="Chennai Super Kings"/>
    <s v="Won"/>
    <s v="IPL25-M001"/>
    <s v="No"/>
    <n v="6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14E3ACD-84B1-4E7A-A517-A81AA7A3C4E2}" name="PivotTable1" cacheId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4">
  <location ref="J4:L15" firstHeaderRow="0" firstDataRow="1" firstDataCol="1"/>
  <pivotFields count="5">
    <pivotField axis="axisRow" showAll="0" sortType="descending">
      <items count="11">
        <item x="0"/>
        <item x="9"/>
        <item x="3"/>
        <item x="1"/>
        <item x="2"/>
        <item x="6"/>
        <item x="4"/>
        <item x="8"/>
        <item x="5"/>
        <item x="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dataField="1" showAll="0"/>
    <pivotField dataField="1" dragToRow="0" dragToCol="0" dragToPage="0" showAll="0" defaultSubtotal="0"/>
  </pivotFields>
  <rowFields count="1">
    <field x="0"/>
  </rowFields>
  <rowItems count="11">
    <i>
      <x v="4"/>
    </i>
    <i>
      <x/>
    </i>
    <i>
      <x v="6"/>
    </i>
    <i>
      <x v="3"/>
    </i>
    <i>
      <x v="2"/>
    </i>
    <i>
      <x v="9"/>
    </i>
    <i>
      <x v="8"/>
    </i>
    <i>
      <x v="5"/>
    </i>
    <i>
      <x v="7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Max of NRR" fld="3" subtotal="max" baseField="0" baseItem="1"/>
    <dataField name="Max of win_percentage" fld="4" subtotal="max" baseField="0" baseItem="4" numFmtId="10"/>
  </dataFields>
  <chartFormats count="4">
    <chartFormat chart="2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5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5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0B40BE-E4E6-422A-90F4-AEDBB74862FC}" name="PivotTable3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8">
  <location ref="A3:C18" firstHeaderRow="0" firstDataRow="1" firstDataCol="1"/>
  <pivotFields count="36">
    <pivotField showAll="0"/>
    <pivotField axis="axisRow" showAll="0" measureFilter="1" sortType="descending">
      <items count="499">
        <item x="147"/>
        <item x="477"/>
        <item x="107"/>
        <item x="168"/>
        <item x="197"/>
        <item x="102"/>
        <item x="253"/>
        <item x="113"/>
        <item x="200"/>
        <item x="252"/>
        <item x="422"/>
        <item x="23"/>
        <item x="41"/>
        <item x="492"/>
        <item x="13"/>
        <item x="280"/>
        <item x="334"/>
        <item x="359"/>
        <item x="385"/>
        <item x="450"/>
        <item x="37"/>
        <item x="394"/>
        <item x="401"/>
        <item x="437"/>
        <item x="132"/>
        <item x="332"/>
        <item x="413"/>
        <item x="46"/>
        <item x="393"/>
        <item x="440"/>
        <item x="53"/>
        <item x="164"/>
        <item x="166"/>
        <item x="259"/>
        <item x="65"/>
        <item x="352"/>
        <item x="79"/>
        <item x="151"/>
        <item x="191"/>
        <item x="384"/>
        <item x="89"/>
        <item x="257"/>
        <item x="382"/>
        <item x="386"/>
        <item x="125"/>
        <item x="277"/>
        <item x="336"/>
        <item x="442"/>
        <item x="449"/>
        <item x="62"/>
        <item x="211"/>
        <item x="129"/>
        <item x="308"/>
        <item x="331"/>
        <item x="471"/>
        <item x="143"/>
        <item x="165"/>
        <item x="241"/>
        <item x="335"/>
        <item x="138"/>
        <item x="412"/>
        <item x="108"/>
        <item x="254"/>
        <item x="268"/>
        <item x="292"/>
        <item x="340"/>
        <item x="408"/>
        <item x="451"/>
        <item x="36"/>
        <item x="291"/>
        <item x="141"/>
        <item x="202"/>
        <item x="284"/>
        <item x="420"/>
        <item x="443"/>
        <item x="26"/>
        <item x="194"/>
        <item x="137"/>
        <item x="220"/>
        <item x="60"/>
        <item x="183"/>
        <item x="189"/>
        <item x="472"/>
        <item x="19"/>
        <item x="316"/>
        <item x="126"/>
        <item x="245"/>
        <item x="348"/>
        <item x="97"/>
        <item x="377"/>
        <item x="411"/>
        <item x="441"/>
        <item x="18"/>
        <item x="181"/>
        <item x="215"/>
        <item x="229"/>
        <item x="405"/>
        <item x="444"/>
        <item x="462"/>
        <item x="497"/>
        <item x="10"/>
        <item x="100"/>
        <item x="34"/>
        <item x="319"/>
        <item x="31"/>
        <item x="201"/>
        <item x="263"/>
        <item x="480"/>
        <item x="32"/>
        <item x="369"/>
        <item x="111"/>
        <item x="301"/>
        <item x="455"/>
        <item x="2"/>
        <item x="172"/>
        <item x="232"/>
        <item x="299"/>
        <item x="469"/>
        <item x="82"/>
        <item x="188"/>
        <item x="275"/>
        <item x="285"/>
        <item x="55"/>
        <item x="297"/>
        <item x="106"/>
        <item x="192"/>
        <item x="273"/>
        <item x="483"/>
        <item x="4"/>
        <item x="68"/>
        <item x="338"/>
        <item x="460"/>
        <item x="66"/>
        <item x="248"/>
        <item x="267"/>
        <item x="127"/>
        <item x="3"/>
        <item x="294"/>
        <item x="470"/>
        <item x="116"/>
        <item x="214"/>
        <item x="476"/>
        <item x="74"/>
        <item x="350"/>
        <item x="362"/>
        <item x="387"/>
        <item x="466"/>
        <item x="81"/>
        <item x="447"/>
        <item x="453"/>
        <item x="98"/>
        <item x="78"/>
        <item x="283"/>
        <item x="346"/>
        <item x="347"/>
        <item x="91"/>
        <item x="175"/>
        <item x="186"/>
        <item x="206"/>
        <item x="221"/>
        <item x="296"/>
        <item x="146"/>
        <item x="155"/>
        <item x="231"/>
        <item x="478"/>
        <item x="80"/>
        <item x="363"/>
        <item x="139"/>
        <item x="314"/>
        <item x="371"/>
        <item x="12"/>
        <item x="242"/>
        <item x="426"/>
        <item x="474"/>
        <item x="69"/>
        <item x="161"/>
        <item x="237"/>
        <item x="119"/>
        <item x="300"/>
        <item x="131"/>
        <item x="305"/>
        <item x="375"/>
        <item x="99"/>
        <item x="365"/>
        <item x="481"/>
        <item x="63"/>
        <item x="179"/>
        <item x="207"/>
        <item x="357"/>
        <item x="130"/>
        <item x="157"/>
        <item x="219"/>
        <item x="261"/>
        <item x="73"/>
        <item x="152"/>
        <item x="163"/>
        <item x="77"/>
        <item x="42"/>
        <item x="439"/>
        <item x="54"/>
        <item x="234"/>
        <item x="250"/>
        <item x="330"/>
        <item x="112"/>
        <item x="121"/>
        <item x="185"/>
        <item x="204"/>
        <item x="223"/>
        <item x="265"/>
        <item x="123"/>
        <item x="468"/>
        <item x="22"/>
        <item x="154"/>
        <item x="307"/>
        <item x="397"/>
        <item x="114"/>
        <item x="28"/>
        <item x="190"/>
        <item x="239"/>
        <item x="56"/>
        <item x="212"/>
        <item x="226"/>
        <item x="281"/>
        <item x="326"/>
        <item x="360"/>
        <item x="374"/>
        <item x="484"/>
        <item x="21"/>
        <item x="327"/>
        <item x="333"/>
        <item x="388"/>
        <item x="14"/>
        <item x="135"/>
        <item x="247"/>
        <item x="262"/>
        <item x="391"/>
        <item x="33"/>
        <item x="156"/>
        <item x="244"/>
        <item x="372"/>
        <item x="415"/>
        <item x="128"/>
        <item x="193"/>
        <item x="337"/>
        <item x="398"/>
        <item x="456"/>
        <item x="475"/>
        <item x="15"/>
        <item x="287"/>
        <item x="461"/>
        <item x="72"/>
        <item x="493"/>
        <item x="6"/>
        <item x="205"/>
        <item x="240"/>
        <item x="302"/>
        <item x="432"/>
        <item x="463"/>
        <item x="88"/>
        <item x="373"/>
        <item x="423"/>
        <item x="120"/>
        <item x="343"/>
        <item x="459"/>
        <item x="59"/>
        <item x="458"/>
        <item x="117"/>
        <item x="409"/>
        <item x="144"/>
        <item x="224"/>
        <item x="353"/>
        <item x="354"/>
        <item x="355"/>
        <item x="9"/>
        <item x="209"/>
        <item x="279"/>
        <item x="400"/>
        <item x="491"/>
        <item x="48"/>
        <item x="162"/>
        <item x="176"/>
        <item x="178"/>
        <item x="313"/>
        <item x="328"/>
        <item x="378"/>
        <item x="383"/>
        <item x="49"/>
        <item x="266"/>
        <item x="303"/>
        <item x="445"/>
        <item x="85"/>
        <item x="312"/>
        <item x="29"/>
        <item x="203"/>
        <item x="230"/>
        <item x="236"/>
        <item x="272"/>
        <item x="417"/>
        <item x="496"/>
        <item x="133"/>
        <item x="322"/>
        <item x="64"/>
        <item x="187"/>
        <item x="246"/>
        <item x="427"/>
        <item x="124"/>
        <item x="217"/>
        <item x="410"/>
        <item x="25"/>
        <item x="260"/>
        <item x="286"/>
        <item x="351"/>
        <item x="57"/>
        <item x="428"/>
        <item x="44"/>
        <item x="366"/>
        <item x="35"/>
        <item x="169"/>
        <item x="367"/>
        <item x="429"/>
        <item x="136"/>
        <item x="274"/>
        <item x="399"/>
        <item x="402"/>
        <item x="404"/>
        <item x="122"/>
        <item x="199"/>
        <item x="370"/>
        <item x="93"/>
        <item x="213"/>
        <item x="321"/>
        <item x="364"/>
        <item x="407"/>
        <item x="17"/>
        <item x="431"/>
        <item x="436"/>
        <item x="467"/>
        <item x="487"/>
        <item x="43"/>
        <item x="177"/>
        <item x="311"/>
        <item x="486"/>
        <item x="67"/>
        <item x="208"/>
        <item x="278"/>
        <item x="315"/>
        <item x="494"/>
        <item x="84"/>
        <item x="218"/>
        <item x="251"/>
        <item x="290"/>
        <item x="50"/>
        <item x="61"/>
        <item x="389"/>
        <item x="495"/>
        <item x="103"/>
        <item x="264"/>
        <item x="306"/>
        <item x="473"/>
        <item x="0"/>
        <item x="170"/>
        <item x="271"/>
        <item x="342"/>
        <item x="446"/>
        <item x="8"/>
        <item x="395"/>
        <item x="101"/>
        <item x="430"/>
        <item x="485"/>
        <item x="16"/>
        <item x="171"/>
        <item x="145"/>
        <item x="288"/>
        <item x="318"/>
        <item x="390"/>
        <item x="465"/>
        <item x="76"/>
        <item x="448"/>
        <item x="104"/>
        <item x="418"/>
        <item x="452"/>
        <item x="90"/>
        <item x="235"/>
        <item x="258"/>
        <item x="298"/>
        <item x="118"/>
        <item x="210"/>
        <item x="358"/>
        <item x="482"/>
        <item x="70"/>
        <item x="216"/>
        <item x="324"/>
        <item x="27"/>
        <item x="158"/>
        <item x="329"/>
        <item x="376"/>
        <item x="392"/>
        <item x="479"/>
        <item x="87"/>
        <item x="282"/>
        <item x="289"/>
        <item x="435"/>
        <item x="489"/>
        <item x="75"/>
        <item x="317"/>
        <item x="380"/>
        <item x="95"/>
        <item x="225"/>
        <item x="20"/>
        <item x="222"/>
        <item x="293"/>
        <item x="414"/>
        <item x="45"/>
        <item x="249"/>
        <item x="325"/>
        <item x="424"/>
        <item x="134"/>
        <item x="150"/>
        <item x="309"/>
        <item x="341"/>
        <item x="381"/>
        <item x="419"/>
        <item x="83"/>
        <item x="153"/>
        <item x="159"/>
        <item x="184"/>
        <item x="320"/>
        <item x="349"/>
        <item x="361"/>
        <item x="488"/>
        <item x="58"/>
        <item x="403"/>
        <item x="47"/>
        <item x="149"/>
        <item x="238"/>
        <item x="310"/>
        <item x="425"/>
        <item x="1"/>
        <item x="174"/>
        <item x="182"/>
        <item x="304"/>
        <item x="490"/>
        <item x="40"/>
        <item x="173"/>
        <item x="356"/>
        <item x="109"/>
        <item x="160"/>
        <item x="227"/>
        <item x="339"/>
        <item x="396"/>
        <item x="86"/>
        <item x="7"/>
        <item x="198"/>
        <item x="438"/>
        <item x="5"/>
        <item x="105"/>
        <item x="94"/>
        <item x="454"/>
        <item x="71"/>
        <item x="379"/>
        <item x="457"/>
        <item x="24"/>
        <item x="52"/>
        <item x="243"/>
        <item x="270"/>
        <item x="421"/>
        <item x="464"/>
        <item x="51"/>
        <item x="255"/>
        <item x="142"/>
        <item x="195"/>
        <item x="433"/>
        <item x="30"/>
        <item x="276"/>
        <item x="345"/>
        <item x="11"/>
        <item x="295"/>
        <item x="115"/>
        <item x="256"/>
        <item x="434"/>
        <item x="110"/>
        <item x="38"/>
        <item x="228"/>
        <item x="344"/>
        <item x="416"/>
        <item x="140"/>
        <item x="233"/>
        <item x="269"/>
        <item x="368"/>
        <item x="39"/>
        <item x="196"/>
        <item x="92"/>
        <item x="167"/>
        <item x="323"/>
        <item x="96"/>
        <item x="148"/>
        <item x="180"/>
        <item x="4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 includeNewItemsInFilter="1" avgSubtotal="1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5">
    <i>
      <x v="289"/>
    </i>
    <i>
      <x v="165"/>
    </i>
    <i>
      <x v="466"/>
    </i>
    <i>
      <x v="31"/>
    </i>
    <i>
      <x v="342"/>
    </i>
    <i>
      <x v="80"/>
    </i>
    <i>
      <x v="9"/>
    </i>
    <i>
      <x v="154"/>
    </i>
    <i>
      <x v="413"/>
    </i>
    <i>
      <x v="131"/>
    </i>
    <i>
      <x v="239"/>
    </i>
    <i>
      <x v="197"/>
    </i>
    <i>
      <x v="124"/>
    </i>
    <i>
      <x v="140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otal_Runs" fld="11" baseField="0" baseItem="0"/>
    <dataField name="Average of Strike_Rate" fld="14" subtotal="average" baseField="1" baseItem="0"/>
  </dataFields>
  <chartFormats count="4">
    <chartFormat chart="7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7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4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4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valueGreaterThan" evalOrder="-1" id="2" iMeasureFld="0">
      <autoFilter ref="A1">
        <filterColumn colId="0">
          <customFilters>
            <customFilter operator="greaterThan" val="636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DF6716C-BC83-4010-B6DA-B3E2C191ED86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7">
  <location ref="A3:C15" firstHeaderRow="0" firstDataRow="1" firstDataCol="1" rowPageCount="1" colPageCount="1"/>
  <pivotFields count="36">
    <pivotField showAll="0"/>
    <pivotField axis="axisRow" showAll="0" measureFilter="1" sortType="descending">
      <items count="499">
        <item x="147"/>
        <item x="477"/>
        <item x="107"/>
        <item x="168"/>
        <item x="197"/>
        <item x="102"/>
        <item x="253"/>
        <item x="113"/>
        <item x="200"/>
        <item x="252"/>
        <item x="422"/>
        <item x="23"/>
        <item x="41"/>
        <item x="492"/>
        <item x="13"/>
        <item x="280"/>
        <item x="334"/>
        <item x="359"/>
        <item x="385"/>
        <item x="450"/>
        <item x="37"/>
        <item x="394"/>
        <item x="401"/>
        <item x="437"/>
        <item x="132"/>
        <item x="332"/>
        <item x="413"/>
        <item x="46"/>
        <item x="393"/>
        <item x="440"/>
        <item x="53"/>
        <item x="164"/>
        <item x="166"/>
        <item x="259"/>
        <item x="65"/>
        <item x="352"/>
        <item x="79"/>
        <item x="151"/>
        <item x="191"/>
        <item x="384"/>
        <item x="89"/>
        <item x="257"/>
        <item x="382"/>
        <item x="386"/>
        <item x="125"/>
        <item x="277"/>
        <item x="336"/>
        <item x="442"/>
        <item x="449"/>
        <item x="62"/>
        <item x="211"/>
        <item x="129"/>
        <item x="308"/>
        <item x="331"/>
        <item x="471"/>
        <item x="143"/>
        <item x="165"/>
        <item x="241"/>
        <item x="335"/>
        <item x="138"/>
        <item x="412"/>
        <item x="108"/>
        <item x="254"/>
        <item x="268"/>
        <item x="292"/>
        <item x="340"/>
        <item x="408"/>
        <item x="451"/>
        <item x="36"/>
        <item x="291"/>
        <item x="141"/>
        <item x="202"/>
        <item x="284"/>
        <item x="420"/>
        <item x="443"/>
        <item x="26"/>
        <item x="194"/>
        <item x="137"/>
        <item x="220"/>
        <item x="60"/>
        <item x="183"/>
        <item x="189"/>
        <item x="472"/>
        <item x="19"/>
        <item x="316"/>
        <item x="126"/>
        <item x="245"/>
        <item x="348"/>
        <item x="97"/>
        <item x="377"/>
        <item x="411"/>
        <item x="441"/>
        <item x="18"/>
        <item x="181"/>
        <item x="215"/>
        <item x="229"/>
        <item x="405"/>
        <item x="444"/>
        <item x="462"/>
        <item x="497"/>
        <item x="10"/>
        <item x="100"/>
        <item x="34"/>
        <item x="319"/>
        <item x="31"/>
        <item x="201"/>
        <item x="263"/>
        <item x="480"/>
        <item x="32"/>
        <item x="369"/>
        <item x="111"/>
        <item x="301"/>
        <item x="455"/>
        <item x="2"/>
        <item x="172"/>
        <item x="232"/>
        <item x="299"/>
        <item x="469"/>
        <item x="82"/>
        <item x="188"/>
        <item x="275"/>
        <item x="285"/>
        <item x="55"/>
        <item x="297"/>
        <item x="106"/>
        <item x="192"/>
        <item x="273"/>
        <item x="483"/>
        <item x="4"/>
        <item x="68"/>
        <item x="338"/>
        <item x="460"/>
        <item x="66"/>
        <item x="248"/>
        <item x="267"/>
        <item x="127"/>
        <item x="3"/>
        <item x="294"/>
        <item x="470"/>
        <item x="116"/>
        <item x="214"/>
        <item x="476"/>
        <item x="74"/>
        <item x="350"/>
        <item x="362"/>
        <item x="387"/>
        <item x="466"/>
        <item x="81"/>
        <item x="447"/>
        <item x="453"/>
        <item x="98"/>
        <item x="78"/>
        <item x="283"/>
        <item x="346"/>
        <item x="347"/>
        <item x="91"/>
        <item x="175"/>
        <item x="186"/>
        <item x="206"/>
        <item x="221"/>
        <item x="296"/>
        <item x="146"/>
        <item x="155"/>
        <item x="231"/>
        <item x="478"/>
        <item x="80"/>
        <item x="363"/>
        <item x="139"/>
        <item x="314"/>
        <item x="371"/>
        <item x="12"/>
        <item x="242"/>
        <item x="426"/>
        <item x="474"/>
        <item x="69"/>
        <item x="161"/>
        <item x="237"/>
        <item x="119"/>
        <item x="300"/>
        <item x="131"/>
        <item x="305"/>
        <item x="375"/>
        <item x="99"/>
        <item x="365"/>
        <item x="481"/>
        <item x="63"/>
        <item x="179"/>
        <item x="207"/>
        <item x="357"/>
        <item x="130"/>
        <item x="157"/>
        <item x="219"/>
        <item x="261"/>
        <item x="73"/>
        <item x="152"/>
        <item x="163"/>
        <item x="77"/>
        <item x="42"/>
        <item x="439"/>
        <item x="54"/>
        <item x="234"/>
        <item x="250"/>
        <item x="330"/>
        <item x="112"/>
        <item x="121"/>
        <item x="185"/>
        <item x="204"/>
        <item x="223"/>
        <item x="265"/>
        <item x="123"/>
        <item x="468"/>
        <item x="22"/>
        <item x="154"/>
        <item x="307"/>
        <item x="397"/>
        <item x="114"/>
        <item x="28"/>
        <item x="190"/>
        <item x="239"/>
        <item x="56"/>
        <item x="212"/>
        <item x="226"/>
        <item x="281"/>
        <item x="326"/>
        <item x="360"/>
        <item x="374"/>
        <item x="484"/>
        <item x="21"/>
        <item x="327"/>
        <item x="333"/>
        <item x="388"/>
        <item x="14"/>
        <item x="135"/>
        <item x="247"/>
        <item x="262"/>
        <item x="391"/>
        <item x="33"/>
        <item x="156"/>
        <item x="244"/>
        <item x="372"/>
        <item x="415"/>
        <item x="128"/>
        <item x="193"/>
        <item x="337"/>
        <item x="398"/>
        <item x="456"/>
        <item x="475"/>
        <item x="15"/>
        <item x="287"/>
        <item x="461"/>
        <item x="72"/>
        <item x="493"/>
        <item x="6"/>
        <item x="205"/>
        <item x="240"/>
        <item x="302"/>
        <item x="432"/>
        <item x="463"/>
        <item x="88"/>
        <item x="373"/>
        <item x="423"/>
        <item x="120"/>
        <item x="343"/>
        <item x="459"/>
        <item x="59"/>
        <item x="458"/>
        <item x="117"/>
        <item x="409"/>
        <item x="144"/>
        <item x="224"/>
        <item x="353"/>
        <item x="354"/>
        <item x="355"/>
        <item x="9"/>
        <item x="209"/>
        <item x="279"/>
        <item x="400"/>
        <item x="491"/>
        <item x="48"/>
        <item x="162"/>
        <item x="176"/>
        <item x="178"/>
        <item x="313"/>
        <item x="328"/>
        <item x="378"/>
        <item x="383"/>
        <item x="49"/>
        <item x="266"/>
        <item x="303"/>
        <item x="445"/>
        <item x="85"/>
        <item x="312"/>
        <item x="29"/>
        <item x="203"/>
        <item x="230"/>
        <item x="236"/>
        <item x="272"/>
        <item x="417"/>
        <item x="496"/>
        <item x="133"/>
        <item x="322"/>
        <item x="64"/>
        <item x="187"/>
        <item x="246"/>
        <item x="427"/>
        <item x="124"/>
        <item x="217"/>
        <item x="410"/>
        <item x="25"/>
        <item x="260"/>
        <item x="286"/>
        <item x="351"/>
        <item x="57"/>
        <item x="428"/>
        <item x="44"/>
        <item x="366"/>
        <item x="35"/>
        <item x="169"/>
        <item x="367"/>
        <item x="429"/>
        <item x="136"/>
        <item x="274"/>
        <item x="399"/>
        <item x="402"/>
        <item x="404"/>
        <item x="122"/>
        <item x="199"/>
        <item x="370"/>
        <item x="93"/>
        <item x="213"/>
        <item x="321"/>
        <item x="364"/>
        <item x="407"/>
        <item x="17"/>
        <item x="431"/>
        <item x="436"/>
        <item x="467"/>
        <item x="487"/>
        <item x="43"/>
        <item x="177"/>
        <item x="311"/>
        <item x="486"/>
        <item x="67"/>
        <item x="208"/>
        <item x="278"/>
        <item x="315"/>
        <item x="494"/>
        <item x="84"/>
        <item x="218"/>
        <item x="251"/>
        <item x="290"/>
        <item x="50"/>
        <item x="61"/>
        <item x="389"/>
        <item x="495"/>
        <item x="103"/>
        <item x="264"/>
        <item x="306"/>
        <item x="473"/>
        <item x="0"/>
        <item x="170"/>
        <item x="271"/>
        <item x="342"/>
        <item x="446"/>
        <item x="8"/>
        <item x="395"/>
        <item x="101"/>
        <item x="430"/>
        <item x="485"/>
        <item x="16"/>
        <item x="171"/>
        <item x="145"/>
        <item x="288"/>
        <item x="318"/>
        <item x="390"/>
        <item x="465"/>
        <item x="76"/>
        <item x="448"/>
        <item x="104"/>
        <item x="418"/>
        <item x="452"/>
        <item x="90"/>
        <item x="235"/>
        <item x="258"/>
        <item x="298"/>
        <item x="118"/>
        <item x="210"/>
        <item x="358"/>
        <item x="482"/>
        <item x="70"/>
        <item x="216"/>
        <item x="324"/>
        <item x="27"/>
        <item x="158"/>
        <item x="329"/>
        <item x="376"/>
        <item x="392"/>
        <item x="479"/>
        <item x="87"/>
        <item x="282"/>
        <item x="289"/>
        <item x="435"/>
        <item x="489"/>
        <item x="75"/>
        <item x="317"/>
        <item x="380"/>
        <item x="95"/>
        <item x="225"/>
        <item x="20"/>
        <item x="222"/>
        <item x="293"/>
        <item x="414"/>
        <item x="45"/>
        <item x="249"/>
        <item x="325"/>
        <item x="424"/>
        <item x="134"/>
        <item x="150"/>
        <item x="309"/>
        <item x="341"/>
        <item x="381"/>
        <item x="419"/>
        <item x="83"/>
        <item x="153"/>
        <item x="159"/>
        <item x="184"/>
        <item x="320"/>
        <item x="349"/>
        <item x="361"/>
        <item x="488"/>
        <item x="58"/>
        <item x="403"/>
        <item x="47"/>
        <item x="149"/>
        <item x="238"/>
        <item x="310"/>
        <item x="425"/>
        <item x="1"/>
        <item x="174"/>
        <item x="182"/>
        <item x="304"/>
        <item x="490"/>
        <item x="40"/>
        <item x="173"/>
        <item x="356"/>
        <item x="109"/>
        <item x="160"/>
        <item x="227"/>
        <item x="339"/>
        <item x="396"/>
        <item x="86"/>
        <item x="7"/>
        <item x="198"/>
        <item x="438"/>
        <item x="5"/>
        <item x="105"/>
        <item x="94"/>
        <item x="454"/>
        <item x="71"/>
        <item x="379"/>
        <item x="457"/>
        <item x="24"/>
        <item x="52"/>
        <item x="243"/>
        <item x="270"/>
        <item x="421"/>
        <item x="464"/>
        <item x="51"/>
        <item x="255"/>
        <item x="142"/>
        <item x="195"/>
        <item x="433"/>
        <item x="30"/>
        <item x="276"/>
        <item x="345"/>
        <item x="11"/>
        <item x="295"/>
        <item x="115"/>
        <item x="256"/>
        <item x="434"/>
        <item x="110"/>
        <item x="38"/>
        <item x="228"/>
        <item x="344"/>
        <item x="416"/>
        <item x="140"/>
        <item x="233"/>
        <item x="269"/>
        <item x="368"/>
        <item x="39"/>
        <item x="196"/>
        <item x="92"/>
        <item x="167"/>
        <item x="323"/>
        <item x="96"/>
        <item x="148"/>
        <item x="180"/>
        <item x="406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Page" showAll="0">
      <items count="5">
        <item x="1"/>
        <item x="2"/>
        <item x="0"/>
        <item x="3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1"/>
  </rowFields>
  <rowItems count="12">
    <i>
      <x v="314"/>
    </i>
    <i>
      <x v="1"/>
    </i>
    <i>
      <x v="377"/>
    </i>
    <i>
      <x v="110"/>
    </i>
    <i>
      <x v="251"/>
    </i>
    <i>
      <x v="119"/>
    </i>
    <i>
      <x v="340"/>
    </i>
    <i>
      <x v="145"/>
    </i>
    <i>
      <x v="383"/>
    </i>
    <i>
      <x v="173"/>
    </i>
    <i>
      <x v="242"/>
    </i>
    <i t="grand">
      <x/>
    </i>
  </rowItems>
  <colFields count="1">
    <field x="-2"/>
  </colFields>
  <colItems count="2">
    <i>
      <x/>
    </i>
    <i i="1">
      <x v="1"/>
    </i>
  </colItems>
  <pageFields count="1">
    <pageField fld="5" item="2" hier="-1"/>
  </pageFields>
  <dataFields count="2">
    <dataField name="Sum of Wickets_Taken" fld="20" baseField="0" baseItem="0"/>
    <dataField name="Average of Economy_Rate" fld="22" subtotal="average" baseField="1" baseItem="1"/>
  </dataFields>
  <chartFormats count="4">
    <chartFormat chart="1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valueGreaterThan" evalOrder="-1" id="3" iMeasureFld="0">
      <autoFilter ref="A1">
        <filterColumn colId="0">
          <customFilters>
            <customFilter operator="greaterThan" val="21"/>
          </customFilters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399CC7D-BE31-48A2-B75A-D49FCF13200D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3">
  <location ref="A3:C14" firstHeaderRow="0" firstDataRow="1" firstDataCol="1"/>
  <pivotFields count="18">
    <pivotField showAll="0"/>
    <pivotField showAll="0"/>
    <pivotField showAll="0"/>
    <pivotField showAll="0"/>
    <pivotField axis="axisRow" showAll="0">
      <items count="11">
        <item x="2"/>
        <item x="5"/>
        <item x="6"/>
        <item x="1"/>
        <item x="7"/>
        <item x="4"/>
        <item x="3"/>
        <item x="8"/>
        <item x="9"/>
        <item x="0"/>
        <item t="default"/>
      </items>
    </pivotField>
    <pivotField showAll="0"/>
    <pivotField showAll="0"/>
    <pivotField dataField="1" numFmtI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core_1" fld="7" subtotal="average" baseField="4" baseItem="6" numFmtId="1"/>
    <dataField name="scores_2" fld="9" subtotal="average" baseField="4" baseItem="6"/>
  </dataFields>
  <chartFormats count="4">
    <chartFormat chart="18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8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0" format="5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DF23D9-1BB9-4E0E-80B8-6F84C59CC19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6">
  <location ref="A3:C14" firstHeaderRow="0" firstDataRow="1" firstDataCol="1"/>
  <pivotFields count="18">
    <pivotField showAll="0"/>
    <pivotField showAll="0"/>
    <pivotField showAll="0"/>
    <pivotField showAll="0"/>
    <pivotField showAll="0"/>
    <pivotField showAll="0"/>
    <pivotField showAll="0"/>
    <pivotField numFmtId="1" showAll="0"/>
    <pivotField showAll="0"/>
    <pivotField showAll="0"/>
    <pivotField showAll="0"/>
    <pivotField axis="axisRow" showAll="0" sortType="descending">
      <items count="11">
        <item x="6"/>
        <item x="2"/>
        <item x="3"/>
        <item x="9"/>
        <item x="4"/>
        <item x="0"/>
        <item x="5"/>
        <item x="8"/>
        <item x="1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dataField="1" showAll="0"/>
  </pivotFields>
  <rowFields count="1">
    <field x="11"/>
  </rowFields>
  <rowItems count="11">
    <i>
      <x v="6"/>
    </i>
    <i>
      <x v="2"/>
    </i>
    <i>
      <x/>
    </i>
    <i>
      <x v="3"/>
    </i>
    <i>
      <x v="8"/>
    </i>
    <i>
      <x v="5"/>
    </i>
    <i>
      <x v="4"/>
    </i>
    <i>
      <x v="9"/>
    </i>
    <i>
      <x v="7"/>
    </i>
    <i>
      <x v="1"/>
    </i>
    <i t="grand">
      <x/>
    </i>
  </rowItems>
  <colFields count="1">
    <field x="-2"/>
  </colFields>
  <colItems count="2">
    <i>
      <x/>
    </i>
    <i i="1">
      <x v="1"/>
    </i>
  </colItems>
  <dataFields count="2">
    <dataField name="percentage" fld="17" subtotal="average" baseField="11" baseItem="6"/>
    <dataField name="Toss win also match win " fld="17" baseField="11" baseItem="6"/>
  </dataFields>
  <formats count="3">
    <format dxfId="8">
      <pivotArea field="11" type="button" dataOnly="0" labelOnly="1" outline="0" axis="axisRow" fieldPosition="0"/>
    </format>
    <format dxfId="7">
      <pivotArea collapsedLevelsAreSubtotals="1" fieldPosition="0">
        <references count="2">
          <reference field="4294967294" count="1" selected="0">
            <x v="0"/>
          </reference>
          <reference field="11" count="0"/>
        </references>
      </pivotArea>
    </format>
    <format dxfId="6">
      <pivotArea field="11" grandRow="1" outline="0" collapsedLevelsAreSubtotals="1" axis="axisRow" fieldPosition="0">
        <references count="1">
          <reference field="4294967294" count="1" selected="0">
            <x v="0"/>
          </reference>
        </references>
      </pivotArea>
    </format>
  </formats>
  <chartFormats count="44">
    <chartFormat chart="19" format="0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19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9" format="2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19" format="3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19" format="4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19" format="5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19" format="6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19" format="7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19" format="8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19" format="9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19" format="10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19" format="11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19" format="12">
      <pivotArea type="data" outline="0" fieldPosition="0">
        <references count="2">
          <reference field="4294967294" count="1" selected="0">
            <x v="1"/>
          </reference>
          <reference field="11" count="1" selected="0">
            <x v="6"/>
          </reference>
        </references>
      </pivotArea>
    </chartFormat>
    <chartFormat chart="19" format="13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19" format="14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19" format="15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19" format="16">
      <pivotArea type="data" outline="0" fieldPosition="0">
        <references count="2">
          <reference field="4294967294" count="1" selected="0">
            <x v="1"/>
          </reference>
          <reference field="11" count="1" selected="0">
            <x v="8"/>
          </reference>
        </references>
      </pivotArea>
    </chartFormat>
    <chartFormat chart="19" format="17">
      <pivotArea type="data" outline="0" fieldPosition="0">
        <references count="2">
          <reference field="4294967294" count="1" selected="0">
            <x v="1"/>
          </reference>
          <reference field="11" count="1" selected="0">
            <x v="5"/>
          </reference>
        </references>
      </pivotArea>
    </chartFormat>
    <chartFormat chart="19" format="18">
      <pivotArea type="data" outline="0" fieldPosition="0">
        <references count="2">
          <reference field="4294967294" count="1" selected="0">
            <x v="1"/>
          </reference>
          <reference field="11" count="1" selected="0">
            <x v="4"/>
          </reference>
        </references>
      </pivotArea>
    </chartFormat>
    <chartFormat chart="19" format="19">
      <pivotArea type="data" outline="0" fieldPosition="0">
        <references count="2">
          <reference field="4294967294" count="1" selected="0">
            <x v="1"/>
          </reference>
          <reference field="11" count="1" selected="0">
            <x v="9"/>
          </reference>
        </references>
      </pivotArea>
    </chartFormat>
    <chartFormat chart="19" format="20">
      <pivotArea type="data" outline="0" fieldPosition="0">
        <references count="2">
          <reference field="4294967294" count="1" selected="0">
            <x v="1"/>
          </reference>
          <reference field="11" count="1" selected="0">
            <x v="7"/>
          </reference>
        </references>
      </pivotArea>
    </chartFormat>
    <chartFormat chart="19" format="21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  <chartFormat chart="21" format="44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1" format="45">
      <pivotArea type="data" outline="0" fieldPosition="0">
        <references count="2">
          <reference field="4294967294" count="1" selected="0">
            <x v="0"/>
          </reference>
          <reference field="11" count="1" selected="0">
            <x v="6"/>
          </reference>
        </references>
      </pivotArea>
    </chartFormat>
    <chartFormat chart="21" format="46">
      <pivotArea type="data" outline="0" fieldPosition="0">
        <references count="2">
          <reference field="4294967294" count="1" selected="0">
            <x v="0"/>
          </reference>
          <reference field="11" count="1" selected="0">
            <x v="2"/>
          </reference>
        </references>
      </pivotArea>
    </chartFormat>
    <chartFormat chart="21" format="47">
      <pivotArea type="data" outline="0" fieldPosition="0">
        <references count="2">
          <reference field="4294967294" count="1" selected="0">
            <x v="0"/>
          </reference>
          <reference field="11" count="1" selected="0">
            <x v="0"/>
          </reference>
        </references>
      </pivotArea>
    </chartFormat>
    <chartFormat chart="21" format="48">
      <pivotArea type="data" outline="0" fieldPosition="0">
        <references count="2">
          <reference field="4294967294" count="1" selected="0">
            <x v="0"/>
          </reference>
          <reference field="11" count="1" selected="0">
            <x v="3"/>
          </reference>
        </references>
      </pivotArea>
    </chartFormat>
    <chartFormat chart="21" format="49">
      <pivotArea type="data" outline="0" fieldPosition="0">
        <references count="2">
          <reference field="4294967294" count="1" selected="0">
            <x v="0"/>
          </reference>
          <reference field="11" count="1" selected="0">
            <x v="8"/>
          </reference>
        </references>
      </pivotArea>
    </chartFormat>
    <chartFormat chart="21" format="50">
      <pivotArea type="data" outline="0" fieldPosition="0">
        <references count="2">
          <reference field="4294967294" count="1" selected="0">
            <x v="0"/>
          </reference>
          <reference field="11" count="1" selected="0">
            <x v="5"/>
          </reference>
        </references>
      </pivotArea>
    </chartFormat>
    <chartFormat chart="21" format="51">
      <pivotArea type="data" outline="0" fieldPosition="0">
        <references count="2">
          <reference field="4294967294" count="1" selected="0">
            <x v="0"/>
          </reference>
          <reference field="11" count="1" selected="0">
            <x v="4"/>
          </reference>
        </references>
      </pivotArea>
    </chartFormat>
    <chartFormat chart="21" format="52">
      <pivotArea type="data" outline="0" fieldPosition="0">
        <references count="2">
          <reference field="4294967294" count="1" selected="0">
            <x v="0"/>
          </reference>
          <reference field="11" count="1" selected="0">
            <x v="9"/>
          </reference>
        </references>
      </pivotArea>
    </chartFormat>
    <chartFormat chart="21" format="53">
      <pivotArea type="data" outline="0" fieldPosition="0">
        <references count="2">
          <reference field="4294967294" count="1" selected="0">
            <x v="0"/>
          </reference>
          <reference field="11" count="1" selected="0">
            <x v="7"/>
          </reference>
        </references>
      </pivotArea>
    </chartFormat>
    <chartFormat chart="21" format="54">
      <pivotArea type="data" outline="0" fieldPosition="0">
        <references count="2">
          <reference field="4294967294" count="1" selected="0">
            <x v="0"/>
          </reference>
          <reference field="11" count="1" selected="0">
            <x v="1"/>
          </reference>
        </references>
      </pivotArea>
    </chartFormat>
    <chartFormat chart="21" format="55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1" format="56">
      <pivotArea type="data" outline="0" fieldPosition="0">
        <references count="2">
          <reference field="4294967294" count="1" selected="0">
            <x v="1"/>
          </reference>
          <reference field="11" count="1" selected="0">
            <x v="6"/>
          </reference>
        </references>
      </pivotArea>
    </chartFormat>
    <chartFormat chart="21" format="57">
      <pivotArea type="data" outline="0" fieldPosition="0">
        <references count="2">
          <reference field="4294967294" count="1" selected="0">
            <x v="1"/>
          </reference>
          <reference field="11" count="1" selected="0">
            <x v="2"/>
          </reference>
        </references>
      </pivotArea>
    </chartFormat>
    <chartFormat chart="21" format="58">
      <pivotArea type="data" outline="0" fieldPosition="0">
        <references count="2">
          <reference field="4294967294" count="1" selected="0">
            <x v="1"/>
          </reference>
          <reference field="11" count="1" selected="0">
            <x v="0"/>
          </reference>
        </references>
      </pivotArea>
    </chartFormat>
    <chartFormat chart="21" format="59">
      <pivotArea type="data" outline="0" fieldPosition="0">
        <references count="2">
          <reference field="4294967294" count="1" selected="0">
            <x v="1"/>
          </reference>
          <reference field="11" count="1" selected="0">
            <x v="3"/>
          </reference>
        </references>
      </pivotArea>
    </chartFormat>
    <chartFormat chart="21" format="60">
      <pivotArea type="data" outline="0" fieldPosition="0">
        <references count="2">
          <reference field="4294967294" count="1" selected="0">
            <x v="1"/>
          </reference>
          <reference field="11" count="1" selected="0">
            <x v="8"/>
          </reference>
        </references>
      </pivotArea>
    </chartFormat>
    <chartFormat chart="21" format="61">
      <pivotArea type="data" outline="0" fieldPosition="0">
        <references count="2">
          <reference field="4294967294" count="1" selected="0">
            <x v="1"/>
          </reference>
          <reference field="11" count="1" selected="0">
            <x v="5"/>
          </reference>
        </references>
      </pivotArea>
    </chartFormat>
    <chartFormat chart="21" format="62">
      <pivotArea type="data" outline="0" fieldPosition="0">
        <references count="2">
          <reference field="4294967294" count="1" selected="0">
            <x v="1"/>
          </reference>
          <reference field="11" count="1" selected="0">
            <x v="4"/>
          </reference>
        </references>
      </pivotArea>
    </chartFormat>
    <chartFormat chart="21" format="63">
      <pivotArea type="data" outline="0" fieldPosition="0">
        <references count="2">
          <reference field="4294967294" count="1" selected="0">
            <x v="1"/>
          </reference>
          <reference field="11" count="1" selected="0">
            <x v="9"/>
          </reference>
        </references>
      </pivotArea>
    </chartFormat>
    <chartFormat chart="21" format="64">
      <pivotArea type="data" outline="0" fieldPosition="0">
        <references count="2">
          <reference field="4294967294" count="1" selected="0">
            <x v="1"/>
          </reference>
          <reference field="11" count="1" selected="0">
            <x v="7"/>
          </reference>
        </references>
      </pivotArea>
    </chartFormat>
    <chartFormat chart="21" format="65">
      <pivotArea type="data" outline="0" fieldPosition="0">
        <references count="2">
          <reference field="4294967294" count="1" selected="0">
            <x v="1"/>
          </reference>
          <reference field="1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AE3A63-DD5C-41EA-B24F-8BACC88F3E92}" name="PivotTable5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A3:B14" firstHeaderRow="1" firstDataRow="1" firstDataCol="1"/>
  <pivotFields count="36">
    <pivotField showAll="0"/>
    <pivotField showAll="0"/>
    <pivotField showAll="0"/>
    <pivotField axis="axisRow" showAll="0" sortType="descending">
      <items count="11">
        <item x="7"/>
        <item x="6"/>
        <item x="2"/>
        <item x="5"/>
        <item x="0"/>
        <item x="8"/>
        <item x="3"/>
        <item x="9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ataField="1" dragToRow="0" dragToCol="0" dragToPage="0" showAll="0" defaultSubtotal="0"/>
  </pivotFields>
  <rowFields count="1">
    <field x="3"/>
  </rowFields>
  <rowItems count="11">
    <i>
      <x v="7"/>
    </i>
    <i>
      <x v="2"/>
    </i>
    <i>
      <x v="6"/>
    </i>
    <i>
      <x/>
    </i>
    <i>
      <x v="8"/>
    </i>
    <i>
      <x v="5"/>
    </i>
    <i>
      <x v="9"/>
    </i>
    <i>
      <x v="4"/>
    </i>
    <i>
      <x v="3"/>
    </i>
    <i>
      <x v="1"/>
    </i>
    <i t="grand">
      <x/>
    </i>
  </rowItems>
  <colItems count="1">
    <i/>
  </colItems>
  <dataFields count="1">
    <dataField name="Max of rr" fld="35" subtotal="max" baseField="3" baseItem="4"/>
  </dataFields>
  <formats count="6">
    <format dxfId="5">
      <pivotArea type="all" dataOnly="0" outline="0" fieldPosition="0"/>
    </format>
    <format dxfId="4">
      <pivotArea outline="0" collapsedLevelsAreSubtotals="1" fieldPosition="0"/>
    </format>
    <format dxfId="3">
      <pivotArea field="3" type="button" dataOnly="0" labelOnly="1" outline="0" axis="axisRow" fieldPosition="0"/>
    </format>
    <format dxfId="2">
      <pivotArea dataOnly="0" labelOnly="1" fieldPosition="0">
        <references count="1">
          <reference field="3" count="0"/>
        </references>
      </pivotArea>
    </format>
    <format dxfId="1">
      <pivotArea dataOnly="0" labelOnly="1" grandRow="1" outline="0" fieldPosition="0"/>
    </format>
    <format dxfId="0">
      <pivotArea dataOnly="0" labelOnly="1" outline="0" axis="axisValues" fieldPosition="0"/>
    </format>
  </formats>
  <chartFormats count="2">
    <chartFormat chart="1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6" format="4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55FB742-4B2F-44D7-AEA6-295DDEECDDCB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9">
  <location ref="A3:B28" firstHeaderRow="1" firstDataRow="1" firstDataCol="1"/>
  <pivotFields count="36">
    <pivotField showAll="0"/>
    <pivotField axis="axisRow" showAll="0" measureFilter="1">
      <items count="499">
        <item x="147"/>
        <item x="477"/>
        <item x="107"/>
        <item x="168"/>
        <item x="197"/>
        <item x="102"/>
        <item x="253"/>
        <item x="113"/>
        <item x="200"/>
        <item x="252"/>
        <item x="422"/>
        <item x="23"/>
        <item x="41"/>
        <item x="492"/>
        <item x="13"/>
        <item x="280"/>
        <item x="334"/>
        <item x="359"/>
        <item x="385"/>
        <item x="450"/>
        <item x="37"/>
        <item x="394"/>
        <item x="401"/>
        <item x="437"/>
        <item x="132"/>
        <item x="332"/>
        <item x="413"/>
        <item x="46"/>
        <item x="393"/>
        <item x="440"/>
        <item x="53"/>
        <item x="164"/>
        <item x="166"/>
        <item x="259"/>
        <item x="65"/>
        <item x="352"/>
        <item x="79"/>
        <item x="151"/>
        <item x="191"/>
        <item x="384"/>
        <item x="89"/>
        <item x="257"/>
        <item x="382"/>
        <item x="386"/>
        <item x="125"/>
        <item x="277"/>
        <item x="336"/>
        <item x="442"/>
        <item x="449"/>
        <item x="62"/>
        <item x="211"/>
        <item x="129"/>
        <item x="308"/>
        <item x="331"/>
        <item x="471"/>
        <item x="143"/>
        <item x="165"/>
        <item x="241"/>
        <item x="335"/>
        <item x="138"/>
        <item x="412"/>
        <item x="108"/>
        <item x="254"/>
        <item x="268"/>
        <item x="292"/>
        <item x="340"/>
        <item x="408"/>
        <item x="451"/>
        <item x="36"/>
        <item x="291"/>
        <item x="141"/>
        <item x="202"/>
        <item x="284"/>
        <item x="420"/>
        <item x="443"/>
        <item x="26"/>
        <item x="194"/>
        <item x="137"/>
        <item x="220"/>
        <item x="60"/>
        <item x="183"/>
        <item x="189"/>
        <item x="472"/>
        <item x="19"/>
        <item x="316"/>
        <item x="126"/>
        <item x="245"/>
        <item x="348"/>
        <item x="97"/>
        <item x="377"/>
        <item x="411"/>
        <item x="441"/>
        <item x="18"/>
        <item x="181"/>
        <item x="215"/>
        <item x="229"/>
        <item x="405"/>
        <item x="444"/>
        <item x="462"/>
        <item x="497"/>
        <item x="10"/>
        <item x="100"/>
        <item x="34"/>
        <item x="319"/>
        <item x="31"/>
        <item x="201"/>
        <item x="263"/>
        <item x="480"/>
        <item x="32"/>
        <item x="369"/>
        <item x="111"/>
        <item x="301"/>
        <item x="455"/>
        <item x="2"/>
        <item x="172"/>
        <item x="232"/>
        <item x="299"/>
        <item x="469"/>
        <item x="82"/>
        <item x="188"/>
        <item x="275"/>
        <item x="285"/>
        <item x="55"/>
        <item x="297"/>
        <item x="106"/>
        <item x="192"/>
        <item x="273"/>
        <item x="483"/>
        <item x="4"/>
        <item x="68"/>
        <item x="338"/>
        <item x="460"/>
        <item x="66"/>
        <item x="248"/>
        <item x="267"/>
        <item x="127"/>
        <item x="3"/>
        <item x="294"/>
        <item x="470"/>
        <item x="116"/>
        <item x="214"/>
        <item x="476"/>
        <item x="74"/>
        <item x="350"/>
        <item x="362"/>
        <item x="387"/>
        <item x="466"/>
        <item x="81"/>
        <item x="447"/>
        <item x="453"/>
        <item x="98"/>
        <item x="78"/>
        <item x="283"/>
        <item x="346"/>
        <item x="347"/>
        <item x="91"/>
        <item x="175"/>
        <item x="186"/>
        <item x="206"/>
        <item x="221"/>
        <item x="296"/>
        <item x="146"/>
        <item x="155"/>
        <item x="231"/>
        <item x="478"/>
        <item x="80"/>
        <item x="363"/>
        <item x="139"/>
        <item x="314"/>
        <item x="371"/>
        <item x="12"/>
        <item x="242"/>
        <item x="426"/>
        <item x="474"/>
        <item x="69"/>
        <item x="161"/>
        <item x="237"/>
        <item x="119"/>
        <item x="300"/>
        <item x="131"/>
        <item x="305"/>
        <item x="375"/>
        <item x="99"/>
        <item x="365"/>
        <item x="481"/>
        <item x="63"/>
        <item x="179"/>
        <item x="207"/>
        <item x="357"/>
        <item x="130"/>
        <item x="157"/>
        <item x="219"/>
        <item x="261"/>
        <item x="73"/>
        <item x="152"/>
        <item x="163"/>
        <item x="77"/>
        <item x="42"/>
        <item x="439"/>
        <item x="54"/>
        <item x="234"/>
        <item x="250"/>
        <item x="330"/>
        <item x="112"/>
        <item x="121"/>
        <item x="185"/>
        <item x="204"/>
        <item x="223"/>
        <item x="265"/>
        <item x="123"/>
        <item x="468"/>
        <item x="22"/>
        <item x="154"/>
        <item x="307"/>
        <item x="397"/>
        <item x="114"/>
        <item x="28"/>
        <item x="190"/>
        <item x="239"/>
        <item x="56"/>
        <item x="212"/>
        <item x="226"/>
        <item x="281"/>
        <item x="326"/>
        <item x="360"/>
        <item x="374"/>
        <item x="484"/>
        <item x="21"/>
        <item x="327"/>
        <item x="333"/>
        <item x="388"/>
        <item x="14"/>
        <item x="135"/>
        <item x="247"/>
        <item x="262"/>
        <item x="391"/>
        <item x="33"/>
        <item x="156"/>
        <item x="244"/>
        <item x="372"/>
        <item x="415"/>
        <item x="128"/>
        <item x="193"/>
        <item x="337"/>
        <item x="398"/>
        <item x="456"/>
        <item x="475"/>
        <item x="15"/>
        <item x="287"/>
        <item x="461"/>
        <item x="72"/>
        <item x="493"/>
        <item x="6"/>
        <item x="205"/>
        <item x="240"/>
        <item x="302"/>
        <item x="432"/>
        <item x="463"/>
        <item x="88"/>
        <item x="373"/>
        <item x="423"/>
        <item x="120"/>
        <item x="343"/>
        <item x="459"/>
        <item x="59"/>
        <item x="458"/>
        <item x="117"/>
        <item x="409"/>
        <item x="144"/>
        <item x="224"/>
        <item x="353"/>
        <item x="354"/>
        <item x="355"/>
        <item x="9"/>
        <item x="209"/>
        <item x="279"/>
        <item x="400"/>
        <item x="491"/>
        <item x="48"/>
        <item x="162"/>
        <item x="176"/>
        <item x="178"/>
        <item x="313"/>
        <item x="328"/>
        <item x="378"/>
        <item x="383"/>
        <item x="49"/>
        <item x="266"/>
        <item x="303"/>
        <item x="445"/>
        <item x="85"/>
        <item x="312"/>
        <item x="29"/>
        <item x="203"/>
        <item x="230"/>
        <item x="236"/>
        <item x="272"/>
        <item x="417"/>
        <item x="496"/>
        <item x="133"/>
        <item x="322"/>
        <item x="64"/>
        <item x="187"/>
        <item x="246"/>
        <item x="427"/>
        <item x="124"/>
        <item x="217"/>
        <item x="410"/>
        <item x="25"/>
        <item x="260"/>
        <item x="286"/>
        <item x="351"/>
        <item x="57"/>
        <item x="428"/>
        <item x="44"/>
        <item x="366"/>
        <item x="35"/>
        <item x="169"/>
        <item x="367"/>
        <item x="429"/>
        <item x="136"/>
        <item x="274"/>
        <item x="399"/>
        <item x="402"/>
        <item x="404"/>
        <item x="122"/>
        <item x="199"/>
        <item x="370"/>
        <item x="93"/>
        <item x="213"/>
        <item x="321"/>
        <item x="364"/>
        <item x="407"/>
        <item x="17"/>
        <item x="431"/>
        <item x="436"/>
        <item x="467"/>
        <item x="487"/>
        <item x="43"/>
        <item x="177"/>
        <item x="311"/>
        <item x="486"/>
        <item x="67"/>
        <item x="208"/>
        <item x="278"/>
        <item x="315"/>
        <item x="494"/>
        <item x="84"/>
        <item x="218"/>
        <item x="251"/>
        <item x="290"/>
        <item x="50"/>
        <item x="61"/>
        <item x="389"/>
        <item x="495"/>
        <item x="103"/>
        <item x="264"/>
        <item x="306"/>
        <item x="473"/>
        <item x="0"/>
        <item x="170"/>
        <item x="271"/>
        <item x="342"/>
        <item x="446"/>
        <item x="8"/>
        <item x="395"/>
        <item x="101"/>
        <item x="430"/>
        <item x="485"/>
        <item x="16"/>
        <item x="171"/>
        <item x="145"/>
        <item x="288"/>
        <item x="318"/>
        <item x="390"/>
        <item x="465"/>
        <item x="76"/>
        <item x="448"/>
        <item x="104"/>
        <item x="418"/>
        <item x="452"/>
        <item x="90"/>
        <item x="235"/>
        <item x="258"/>
        <item x="298"/>
        <item x="118"/>
        <item x="210"/>
        <item x="358"/>
        <item x="482"/>
        <item x="70"/>
        <item x="216"/>
        <item x="324"/>
        <item x="27"/>
        <item x="158"/>
        <item x="329"/>
        <item x="376"/>
        <item x="392"/>
        <item x="479"/>
        <item x="87"/>
        <item x="282"/>
        <item x="289"/>
        <item x="435"/>
        <item x="489"/>
        <item x="75"/>
        <item x="317"/>
        <item x="380"/>
        <item x="95"/>
        <item x="225"/>
        <item x="20"/>
        <item x="222"/>
        <item x="293"/>
        <item x="414"/>
        <item x="45"/>
        <item x="249"/>
        <item x="325"/>
        <item x="424"/>
        <item x="134"/>
        <item x="150"/>
        <item x="309"/>
        <item x="341"/>
        <item x="381"/>
        <item x="419"/>
        <item x="83"/>
        <item x="153"/>
        <item x="159"/>
        <item x="184"/>
        <item x="320"/>
        <item x="349"/>
        <item x="361"/>
        <item x="488"/>
        <item x="58"/>
        <item x="403"/>
        <item x="47"/>
        <item x="149"/>
        <item x="238"/>
        <item x="310"/>
        <item x="425"/>
        <item x="1"/>
        <item x="174"/>
        <item x="182"/>
        <item x="304"/>
        <item x="490"/>
        <item x="40"/>
        <item x="173"/>
        <item x="356"/>
        <item x="109"/>
        <item x="160"/>
        <item x="227"/>
        <item x="339"/>
        <item x="396"/>
        <item x="86"/>
        <item x="7"/>
        <item x="198"/>
        <item x="438"/>
        <item x="5"/>
        <item x="105"/>
        <item x="94"/>
        <item x="454"/>
        <item x="71"/>
        <item x="379"/>
        <item x="457"/>
        <item x="24"/>
        <item x="52"/>
        <item x="243"/>
        <item x="270"/>
        <item x="421"/>
        <item x="464"/>
        <item x="51"/>
        <item x="255"/>
        <item x="142"/>
        <item x="195"/>
        <item x="433"/>
        <item x="30"/>
        <item x="276"/>
        <item x="345"/>
        <item x="11"/>
        <item x="295"/>
        <item x="115"/>
        <item x="256"/>
        <item x="434"/>
        <item x="110"/>
        <item x="38"/>
        <item x="228"/>
        <item x="344"/>
        <item x="416"/>
        <item x="140"/>
        <item x="233"/>
        <item x="269"/>
        <item x="368"/>
        <item x="39"/>
        <item x="196"/>
        <item x="92"/>
        <item x="167"/>
        <item x="323"/>
        <item x="96"/>
        <item x="148"/>
        <item x="180"/>
        <item x="406"/>
        <item t="default"/>
      </items>
    </pivotField>
    <pivotField showAll="0"/>
    <pivotField axis="axisRow" showAll="0">
      <items count="11">
        <item x="1"/>
        <item x="4"/>
        <item x="9"/>
        <item x="3"/>
        <item x="8"/>
        <item x="0"/>
        <item x="5"/>
        <item x="2"/>
        <item x="6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2">
    <field x="3"/>
    <field x="1"/>
  </rowFields>
  <rowItems count="25">
    <i>
      <x/>
    </i>
    <i r="1">
      <x v="213"/>
    </i>
    <i r="1">
      <x v="249"/>
    </i>
    <i r="1">
      <x v="309"/>
    </i>
    <i>
      <x v="1"/>
    </i>
    <i r="1">
      <x v="80"/>
    </i>
    <i r="1">
      <x v="342"/>
    </i>
    <i>
      <x v="2"/>
    </i>
    <i r="1">
      <x v="375"/>
    </i>
    <i>
      <x v="3"/>
    </i>
    <i r="1">
      <x v="289"/>
    </i>
    <i>
      <x v="4"/>
    </i>
    <i r="1">
      <x v="54"/>
    </i>
    <i>
      <x v="5"/>
    </i>
    <i r="1">
      <x v="440"/>
    </i>
    <i>
      <x v="6"/>
    </i>
    <i r="1">
      <x v="165"/>
    </i>
    <i>
      <x v="7"/>
    </i>
    <i r="1">
      <x v="197"/>
    </i>
    <i r="1">
      <x v="239"/>
    </i>
    <i>
      <x v="8"/>
    </i>
    <i r="1">
      <x v="184"/>
    </i>
    <i>
      <x v="9"/>
    </i>
    <i r="1">
      <x v="9"/>
    </i>
    <i t="grand">
      <x/>
    </i>
  </rowItems>
  <colItems count="1">
    <i/>
  </colItems>
  <dataFields count="1">
    <dataField name="Sum of Total_Runs" fld="11" baseField="0" baseItem="0"/>
  </dataFields>
  <chartFormats count="2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5" format="3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2" iMeasureFld="0">
      <autoFilter ref="A1">
        <filterColumn colId="0">
          <top10 val="1" filterVal="1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440721E-4EFA-40E5-81EB-2121C93C2E84}" name="PivotTable6" cacheId="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2">
  <location ref="A3:B14" firstHeaderRow="1" firstDataRow="1" firstDataCol="1"/>
  <pivotFields count="13">
    <pivotField showAll="0"/>
    <pivotField showAll="0"/>
    <pivotField axis="axisRow" showAll="0" sortType="descending">
      <items count="11">
        <item x="0"/>
        <item x="9"/>
        <item x="3"/>
        <item x="1"/>
        <item x="2"/>
        <item x="6"/>
        <item x="4"/>
        <item x="5"/>
        <item x="8"/>
        <item x="7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</pivotFields>
  <rowFields count="1">
    <field x="2"/>
  </rowFields>
  <rowItems count="11">
    <i>
      <x v="4"/>
    </i>
    <i>
      <x/>
    </i>
    <i>
      <x v="6"/>
    </i>
    <i>
      <x v="3"/>
    </i>
    <i>
      <x v="2"/>
    </i>
    <i>
      <x v="9"/>
    </i>
    <i>
      <x v="7"/>
    </i>
    <i>
      <x v="5"/>
    </i>
    <i>
      <x v="8"/>
    </i>
    <i>
      <x v="1"/>
    </i>
    <i t="grand">
      <x/>
    </i>
  </rowItems>
  <colItems count="1">
    <i/>
  </colItems>
  <dataFields count="1">
    <dataField name="performance" fld="12" baseField="2" baseItem="0"/>
  </dataFields>
  <chartFormats count="2">
    <chartFormat chart="9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1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8B3D9FC-487C-4757-97FB-C381A446B957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9">
  <location ref="A3:C17" firstHeaderRow="0" firstDataRow="1" firstDataCol="1"/>
  <pivotFields count="36">
    <pivotField showAll="0"/>
    <pivotField axis="axisRow" showAll="0" measureFilter="1" sortType="descending">
      <items count="499">
        <item x="406"/>
        <item x="180"/>
        <item x="148"/>
        <item x="96"/>
        <item x="323"/>
        <item x="167"/>
        <item x="92"/>
        <item x="196"/>
        <item x="39"/>
        <item x="368"/>
        <item x="269"/>
        <item x="233"/>
        <item x="140"/>
        <item x="416"/>
        <item x="344"/>
        <item x="228"/>
        <item x="38"/>
        <item x="110"/>
        <item x="434"/>
        <item x="256"/>
        <item x="115"/>
        <item x="295"/>
        <item x="11"/>
        <item x="345"/>
        <item x="276"/>
        <item x="30"/>
        <item x="433"/>
        <item x="195"/>
        <item x="142"/>
        <item x="255"/>
        <item x="51"/>
        <item x="464"/>
        <item x="421"/>
        <item x="270"/>
        <item x="243"/>
        <item x="52"/>
        <item x="24"/>
        <item x="457"/>
        <item x="379"/>
        <item x="71"/>
        <item x="454"/>
        <item x="94"/>
        <item x="105"/>
        <item x="5"/>
        <item x="438"/>
        <item x="198"/>
        <item x="7"/>
        <item x="86"/>
        <item x="396"/>
        <item x="339"/>
        <item x="227"/>
        <item x="160"/>
        <item x="109"/>
        <item x="356"/>
        <item x="173"/>
        <item x="40"/>
        <item x="490"/>
        <item x="304"/>
        <item x="182"/>
        <item x="174"/>
        <item x="1"/>
        <item x="425"/>
        <item x="310"/>
        <item x="238"/>
        <item x="149"/>
        <item x="47"/>
        <item x="403"/>
        <item x="58"/>
        <item x="488"/>
        <item x="361"/>
        <item x="349"/>
        <item x="320"/>
        <item x="184"/>
        <item x="159"/>
        <item x="153"/>
        <item x="83"/>
        <item x="419"/>
        <item x="381"/>
        <item x="341"/>
        <item x="309"/>
        <item x="150"/>
        <item x="134"/>
        <item x="424"/>
        <item x="325"/>
        <item x="249"/>
        <item x="45"/>
        <item x="414"/>
        <item x="293"/>
        <item x="222"/>
        <item x="20"/>
        <item x="225"/>
        <item x="95"/>
        <item x="380"/>
        <item x="317"/>
        <item x="75"/>
        <item x="489"/>
        <item x="435"/>
        <item x="289"/>
        <item x="282"/>
        <item x="87"/>
        <item x="479"/>
        <item x="392"/>
        <item x="376"/>
        <item x="329"/>
        <item x="158"/>
        <item x="27"/>
        <item x="324"/>
        <item x="216"/>
        <item x="70"/>
        <item x="482"/>
        <item x="358"/>
        <item x="210"/>
        <item x="118"/>
        <item x="298"/>
        <item x="258"/>
        <item x="235"/>
        <item x="90"/>
        <item x="452"/>
        <item x="418"/>
        <item x="104"/>
        <item x="448"/>
        <item x="76"/>
        <item x="465"/>
        <item x="390"/>
        <item x="318"/>
        <item x="288"/>
        <item x="145"/>
        <item x="171"/>
        <item x="16"/>
        <item x="485"/>
        <item x="430"/>
        <item x="101"/>
        <item x="395"/>
        <item x="8"/>
        <item x="446"/>
        <item x="342"/>
        <item x="271"/>
        <item x="170"/>
        <item x="0"/>
        <item x="473"/>
        <item x="306"/>
        <item x="264"/>
        <item x="103"/>
        <item x="495"/>
        <item x="389"/>
        <item x="61"/>
        <item x="50"/>
        <item x="290"/>
        <item x="251"/>
        <item x="218"/>
        <item x="84"/>
        <item x="494"/>
        <item x="315"/>
        <item x="278"/>
        <item x="208"/>
        <item x="67"/>
        <item x="486"/>
        <item x="311"/>
        <item x="177"/>
        <item x="43"/>
        <item x="487"/>
        <item x="467"/>
        <item x="436"/>
        <item x="431"/>
        <item x="17"/>
        <item x="407"/>
        <item x="364"/>
        <item x="321"/>
        <item x="213"/>
        <item x="93"/>
        <item x="370"/>
        <item x="199"/>
        <item x="122"/>
        <item x="404"/>
        <item x="402"/>
        <item x="399"/>
        <item x="274"/>
        <item x="136"/>
        <item x="429"/>
        <item x="367"/>
        <item x="169"/>
        <item x="35"/>
        <item x="366"/>
        <item x="44"/>
        <item x="428"/>
        <item x="57"/>
        <item x="351"/>
        <item x="286"/>
        <item x="260"/>
        <item x="25"/>
        <item x="410"/>
        <item x="217"/>
        <item x="124"/>
        <item x="427"/>
        <item x="246"/>
        <item x="187"/>
        <item x="64"/>
        <item x="322"/>
        <item x="133"/>
        <item x="496"/>
        <item x="417"/>
        <item x="272"/>
        <item x="236"/>
        <item x="230"/>
        <item x="203"/>
        <item x="29"/>
        <item x="312"/>
        <item x="85"/>
        <item x="445"/>
        <item x="303"/>
        <item x="266"/>
        <item x="49"/>
        <item x="383"/>
        <item x="378"/>
        <item x="328"/>
        <item x="313"/>
        <item x="178"/>
        <item x="176"/>
        <item x="162"/>
        <item x="48"/>
        <item x="491"/>
        <item x="400"/>
        <item x="279"/>
        <item x="209"/>
        <item x="9"/>
        <item x="355"/>
        <item x="354"/>
        <item x="353"/>
        <item x="224"/>
        <item x="144"/>
        <item x="409"/>
        <item x="117"/>
        <item x="458"/>
        <item x="59"/>
        <item x="459"/>
        <item x="343"/>
        <item x="120"/>
        <item x="423"/>
        <item x="373"/>
        <item x="88"/>
        <item x="463"/>
        <item x="432"/>
        <item x="302"/>
        <item x="240"/>
        <item x="205"/>
        <item x="6"/>
        <item x="493"/>
        <item x="72"/>
        <item x="461"/>
        <item x="287"/>
        <item x="15"/>
        <item x="475"/>
        <item x="456"/>
        <item x="398"/>
        <item x="337"/>
        <item x="193"/>
        <item x="128"/>
        <item x="415"/>
        <item x="372"/>
        <item x="244"/>
        <item x="156"/>
        <item x="33"/>
        <item x="391"/>
        <item x="262"/>
        <item x="247"/>
        <item x="135"/>
        <item x="14"/>
        <item x="388"/>
        <item x="333"/>
        <item x="327"/>
        <item x="21"/>
        <item x="484"/>
        <item x="374"/>
        <item x="360"/>
        <item x="326"/>
        <item x="281"/>
        <item x="226"/>
        <item x="212"/>
        <item x="56"/>
        <item x="239"/>
        <item x="190"/>
        <item x="28"/>
        <item x="114"/>
        <item x="397"/>
        <item x="307"/>
        <item x="154"/>
        <item x="22"/>
        <item x="468"/>
        <item x="123"/>
        <item x="265"/>
        <item x="223"/>
        <item x="204"/>
        <item x="185"/>
        <item x="121"/>
        <item x="112"/>
        <item x="330"/>
        <item x="250"/>
        <item x="234"/>
        <item x="54"/>
        <item x="439"/>
        <item x="42"/>
        <item x="77"/>
        <item x="163"/>
        <item x="152"/>
        <item x="73"/>
        <item x="261"/>
        <item x="219"/>
        <item x="157"/>
        <item x="130"/>
        <item x="357"/>
        <item x="207"/>
        <item x="179"/>
        <item x="63"/>
        <item x="481"/>
        <item x="365"/>
        <item x="99"/>
        <item x="375"/>
        <item x="305"/>
        <item x="131"/>
        <item x="300"/>
        <item x="119"/>
        <item x="237"/>
        <item x="161"/>
        <item x="69"/>
        <item x="474"/>
        <item x="426"/>
        <item x="242"/>
        <item x="12"/>
        <item x="371"/>
        <item x="314"/>
        <item x="139"/>
        <item x="363"/>
        <item x="80"/>
        <item x="478"/>
        <item x="231"/>
        <item x="155"/>
        <item x="146"/>
        <item x="296"/>
        <item x="221"/>
        <item x="206"/>
        <item x="186"/>
        <item x="175"/>
        <item x="91"/>
        <item x="347"/>
        <item x="346"/>
        <item x="283"/>
        <item x="78"/>
        <item x="98"/>
        <item x="453"/>
        <item x="447"/>
        <item x="81"/>
        <item x="466"/>
        <item x="387"/>
        <item x="362"/>
        <item x="350"/>
        <item x="74"/>
        <item x="476"/>
        <item x="214"/>
        <item x="116"/>
        <item x="470"/>
        <item x="294"/>
        <item x="3"/>
        <item x="127"/>
        <item x="267"/>
        <item x="248"/>
        <item x="66"/>
        <item x="460"/>
        <item x="338"/>
        <item x="68"/>
        <item x="4"/>
        <item x="483"/>
        <item x="273"/>
        <item x="192"/>
        <item x="106"/>
        <item x="297"/>
        <item x="55"/>
        <item x="285"/>
        <item x="275"/>
        <item x="188"/>
        <item x="82"/>
        <item x="469"/>
        <item x="299"/>
        <item x="232"/>
        <item x="172"/>
        <item x="2"/>
        <item x="455"/>
        <item x="301"/>
        <item x="111"/>
        <item x="369"/>
        <item x="32"/>
        <item x="480"/>
        <item x="263"/>
        <item x="201"/>
        <item x="31"/>
        <item x="319"/>
        <item x="34"/>
        <item x="100"/>
        <item x="10"/>
        <item x="497"/>
        <item x="462"/>
        <item x="444"/>
        <item x="405"/>
        <item x="229"/>
        <item x="215"/>
        <item x="181"/>
        <item x="18"/>
        <item x="441"/>
        <item x="411"/>
        <item x="377"/>
        <item x="97"/>
        <item x="348"/>
        <item x="245"/>
        <item x="126"/>
        <item x="316"/>
        <item x="19"/>
        <item x="472"/>
        <item x="189"/>
        <item x="183"/>
        <item x="60"/>
        <item x="220"/>
        <item x="137"/>
        <item x="194"/>
        <item x="26"/>
        <item x="443"/>
        <item x="420"/>
        <item x="284"/>
        <item x="202"/>
        <item x="141"/>
        <item x="291"/>
        <item x="36"/>
        <item x="451"/>
        <item x="408"/>
        <item x="340"/>
        <item x="292"/>
        <item x="268"/>
        <item x="254"/>
        <item x="108"/>
        <item x="412"/>
        <item x="138"/>
        <item x="335"/>
        <item x="241"/>
        <item x="165"/>
        <item x="143"/>
        <item x="471"/>
        <item x="331"/>
        <item x="308"/>
        <item x="129"/>
        <item x="211"/>
        <item x="62"/>
        <item x="449"/>
        <item x="442"/>
        <item x="336"/>
        <item x="277"/>
        <item x="125"/>
        <item x="386"/>
        <item x="382"/>
        <item x="257"/>
        <item x="89"/>
        <item x="384"/>
        <item x="191"/>
        <item x="151"/>
        <item x="79"/>
        <item x="352"/>
        <item x="65"/>
        <item x="259"/>
        <item x="166"/>
        <item x="164"/>
        <item x="53"/>
        <item x="440"/>
        <item x="393"/>
        <item x="46"/>
        <item x="413"/>
        <item x="332"/>
        <item x="132"/>
        <item x="437"/>
        <item x="401"/>
        <item x="394"/>
        <item x="37"/>
        <item x="450"/>
        <item x="385"/>
        <item x="359"/>
        <item x="334"/>
        <item x="280"/>
        <item x="13"/>
        <item x="492"/>
        <item x="41"/>
        <item x="23"/>
        <item x="422"/>
        <item x="252"/>
        <item x="200"/>
        <item x="113"/>
        <item x="253"/>
        <item x="102"/>
        <item x="197"/>
        <item x="168"/>
        <item x="107"/>
        <item x="477"/>
        <item x="147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dragToRow="0" dragToCol="0" dragToPage="0" showAll="0" defaultSubtotal="0"/>
    <pivotField dragToRow="0" dragToCol="0" dragToPage="0" showAll="0" defaultSubtotal="0"/>
  </pivotFields>
  <rowFields count="1">
    <field x="1"/>
  </rowFields>
  <rowItems count="14">
    <i>
      <x v="258"/>
    </i>
    <i>
      <x v="366"/>
    </i>
    <i>
      <x v="300"/>
    </i>
    <i>
      <x v="84"/>
    </i>
    <i>
      <x v="57"/>
    </i>
    <i>
      <x v="35"/>
    </i>
    <i>
      <x v="102"/>
    </i>
    <i>
      <x v="122"/>
    </i>
    <i>
      <x v="368"/>
    </i>
    <i>
      <x v="78"/>
    </i>
    <i>
      <x v="372"/>
    </i>
    <i>
      <x v="192"/>
    </i>
    <i>
      <x v="288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Batting_Average" fld="13" baseField="0" baseItem="0"/>
    <dataField name="Max of Total boundaries" fld="34" subtotal="max" baseField="1" baseItem="413"/>
  </dataFields>
  <chartFormats count="4">
    <chartFormat chart="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" format="3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4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filters count="1">
    <filter fld="1" type="count" evalOrder="-1" id="1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A1BC35E-2521-40B3-A732-D9547A409A09}" name="PivotTable4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8">
  <location ref="A3:D14" firstHeaderRow="0" firstDataRow="1" firstDataCol="1"/>
  <pivotFields count="36">
    <pivotField showAll="0"/>
    <pivotField showAll="0"/>
    <pivotField axis="axisRow" showAll="0">
      <items count="11">
        <item x="1"/>
        <item x="4"/>
        <item x="9"/>
        <item x="3"/>
        <item x="8"/>
        <item x="0"/>
        <item x="5"/>
        <item x="6"/>
        <item x="2"/>
        <item x="7"/>
        <item t="default"/>
      </items>
    </pivotField>
    <pivotField showAll="0"/>
    <pivotField showAll="0"/>
    <pivotField showAll="0"/>
    <pivotField showAll="0"/>
    <pivotField showAll="0"/>
    <pivotField dataField="1"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ragToRow="0" dragToCol="0" dragToPage="0" showAll="0" defaultSubtotal="0"/>
    <pivotField dragToRow="0" dragToCol="0" dragToPage="0" showAll="0" defaultSubtotal="0"/>
  </pivotFields>
  <rowFields count="1">
    <field x="2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Count of Matches_Played" fld="8" subtotal="count" baseField="2" baseItem="0"/>
    <dataField name="Sum of Total_Runs" fld="11" baseField="0" baseItem="0"/>
    <dataField name="Sum of Wickets_Taken" fld="20" baseField="0" baseItem="0"/>
  </dataFields>
  <chartFormats count="6">
    <chartFormat chart="28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8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28" format="2" series="1">
      <pivotArea type="data" outline="0" fieldPosition="0">
        <references count="1">
          <reference field="4294967294" count="1" selected="0">
            <x v="2"/>
          </reference>
        </references>
      </pivotArea>
    </chartFormat>
    <chartFormat chart="39" format="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9" format="7" series="1">
      <pivotArea type="data" outline="0" fieldPosition="0">
        <references count="1">
          <reference field="4294967294" count="1" selected="0">
            <x v="1"/>
          </reference>
        </references>
      </pivotArea>
    </chartFormat>
    <chartFormat chart="39" format="8" series="1">
      <pivotArea type="data" outline="0" fieldPosition="0">
        <references count="1">
          <reference field="429496729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5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ivotTable" Target="../pivotTables/pivotTable6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7.x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8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ivotTable" Target="../pivotTables/pivotTable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ivotTable" Target="../pivotTables/pivotTable10.x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976F4A-2B16-4065-87A2-2AEE7ECF3057}">
  <dimension ref="B2:L15"/>
  <sheetViews>
    <sheetView zoomScale="87" workbookViewId="0">
      <selection activeCell="J29" sqref="J29"/>
    </sheetView>
  </sheetViews>
  <sheetFormatPr defaultRowHeight="14.4" x14ac:dyDescent="0.3"/>
  <cols>
    <col min="1" max="1" width="6.33203125" customWidth="1"/>
    <col min="2" max="2" width="22.6640625" customWidth="1"/>
    <col min="10" max="10" width="25.109375" bestFit="1" customWidth="1"/>
    <col min="11" max="11" width="11.109375" bestFit="1" customWidth="1"/>
    <col min="12" max="12" width="21.77734375" bestFit="1" customWidth="1"/>
  </cols>
  <sheetData>
    <row r="2" spans="2:12" ht="33.6" x14ac:dyDescent="0.65">
      <c r="B2" s="14" t="s">
        <v>1531</v>
      </c>
    </row>
    <row r="4" spans="2:12" ht="26.4" x14ac:dyDescent="0.3">
      <c r="B4" s="9" t="s">
        <v>435</v>
      </c>
      <c r="C4" s="9" t="s">
        <v>441</v>
      </c>
      <c r="D4" s="9" t="s">
        <v>1509</v>
      </c>
      <c r="E4" s="9" t="s">
        <v>1512</v>
      </c>
      <c r="J4" s="15" t="s">
        <v>1532</v>
      </c>
      <c r="K4" t="s">
        <v>1534</v>
      </c>
      <c r="L4" t="s">
        <v>1535</v>
      </c>
    </row>
    <row r="5" spans="2:12" x14ac:dyDescent="0.3">
      <c r="B5" s="10" t="s">
        <v>20</v>
      </c>
      <c r="C5" s="10">
        <v>16</v>
      </c>
      <c r="D5" s="10">
        <v>11</v>
      </c>
      <c r="E5" s="10">
        <v>4.9000000000000002E-2</v>
      </c>
      <c r="J5" s="16" t="s">
        <v>81</v>
      </c>
      <c r="K5">
        <v>-0.46400000000000002</v>
      </c>
      <c r="L5" s="17">
        <v>0.69230769230769229</v>
      </c>
    </row>
    <row r="6" spans="2:12" x14ac:dyDescent="0.3">
      <c r="B6" s="4" t="s">
        <v>55</v>
      </c>
      <c r="C6" s="4">
        <v>16</v>
      </c>
      <c r="D6" s="4">
        <v>9</v>
      </c>
      <c r="E6" s="4">
        <v>0.153</v>
      </c>
      <c r="J6" s="16" t="s">
        <v>20</v>
      </c>
      <c r="K6">
        <v>4.9000000000000002E-2</v>
      </c>
      <c r="L6" s="17">
        <v>0.6875</v>
      </c>
    </row>
    <row r="7" spans="2:12" x14ac:dyDescent="0.3">
      <c r="B7" s="10" t="s">
        <v>81</v>
      </c>
      <c r="C7" s="10">
        <v>13</v>
      </c>
      <c r="D7" s="10">
        <v>9</v>
      </c>
      <c r="E7" s="10">
        <v>-0.46400000000000002</v>
      </c>
      <c r="J7" s="16" t="s">
        <v>38</v>
      </c>
      <c r="K7">
        <v>0.629</v>
      </c>
      <c r="L7" s="17">
        <v>0.66666666666666663</v>
      </c>
    </row>
    <row r="8" spans="2:12" x14ac:dyDescent="0.3">
      <c r="B8" s="4" t="s">
        <v>28</v>
      </c>
      <c r="C8" s="4">
        <v>16</v>
      </c>
      <c r="D8" s="4">
        <v>8</v>
      </c>
      <c r="E8" s="4">
        <v>0.76100000000000001</v>
      </c>
      <c r="J8" s="16" t="s">
        <v>55</v>
      </c>
      <c r="K8">
        <v>0.153</v>
      </c>
      <c r="L8" s="17">
        <v>0.5625</v>
      </c>
    </row>
    <row r="9" spans="2:12" x14ac:dyDescent="0.3">
      <c r="B9" s="10" t="s">
        <v>38</v>
      </c>
      <c r="C9" s="10">
        <v>12</v>
      </c>
      <c r="D9" s="10">
        <v>8</v>
      </c>
      <c r="E9" s="10">
        <v>0.629</v>
      </c>
      <c r="J9" s="16" t="s">
        <v>28</v>
      </c>
      <c r="K9">
        <v>0.76100000000000001</v>
      </c>
      <c r="L9" s="17">
        <v>0.5</v>
      </c>
    </row>
    <row r="10" spans="2:12" x14ac:dyDescent="0.3">
      <c r="B10" s="4" t="s">
        <v>37</v>
      </c>
      <c r="C10" s="4">
        <v>16</v>
      </c>
      <c r="D10" s="4">
        <v>7</v>
      </c>
      <c r="E10" s="4">
        <v>-1.0999999999999999E-2</v>
      </c>
      <c r="J10" s="16" t="s">
        <v>47</v>
      </c>
      <c r="K10">
        <v>-8.6999999999999994E-2</v>
      </c>
      <c r="L10" s="17">
        <v>0.5</v>
      </c>
    </row>
    <row r="11" spans="2:12" x14ac:dyDescent="0.3">
      <c r="B11" s="10" t="s">
        <v>19</v>
      </c>
      <c r="C11" s="10">
        <v>15</v>
      </c>
      <c r="D11" s="10">
        <v>6</v>
      </c>
      <c r="E11" s="10">
        <v>0.107</v>
      </c>
      <c r="J11" s="16" t="s">
        <v>37</v>
      </c>
      <c r="K11">
        <v>-1.0999999999999999E-2</v>
      </c>
      <c r="L11" s="17">
        <v>0.4375</v>
      </c>
    </row>
    <row r="12" spans="2:12" x14ac:dyDescent="0.3">
      <c r="B12" s="4" t="s">
        <v>47</v>
      </c>
      <c r="C12" s="4">
        <v>10</v>
      </c>
      <c r="D12" s="4">
        <v>5</v>
      </c>
      <c r="E12" s="4">
        <v>-8.6999999999999994E-2</v>
      </c>
      <c r="J12" s="16" t="s">
        <v>19</v>
      </c>
      <c r="K12">
        <v>0.107</v>
      </c>
      <c r="L12" s="17">
        <v>0.4</v>
      </c>
    </row>
    <row r="13" spans="2:12" x14ac:dyDescent="0.3">
      <c r="B13" s="10" t="s">
        <v>142</v>
      </c>
      <c r="C13" s="10">
        <v>12</v>
      </c>
      <c r="D13" s="10">
        <v>4</v>
      </c>
      <c r="E13" s="10">
        <v>-0.157</v>
      </c>
      <c r="J13" s="16" t="s">
        <v>142</v>
      </c>
      <c r="K13">
        <v>-0.157</v>
      </c>
      <c r="L13" s="17">
        <v>0.33333333333333331</v>
      </c>
    </row>
    <row r="14" spans="2:12" x14ac:dyDescent="0.3">
      <c r="B14" s="4" t="s">
        <v>46</v>
      </c>
      <c r="C14" s="4">
        <v>14</v>
      </c>
      <c r="D14" s="4">
        <v>3</v>
      </c>
      <c r="E14" s="4">
        <v>0.70499999999999996</v>
      </c>
      <c r="J14" s="16" t="s">
        <v>46</v>
      </c>
      <c r="K14">
        <v>0.70499999999999996</v>
      </c>
      <c r="L14" s="17">
        <v>0.21428571428571427</v>
      </c>
    </row>
    <row r="15" spans="2:12" x14ac:dyDescent="0.3">
      <c r="J15" s="16" t="s">
        <v>1533</v>
      </c>
      <c r="K15">
        <v>0.76100000000000001</v>
      </c>
      <c r="L15" s="17">
        <v>0.5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760923-4694-4687-8926-D602D82F3ABC}">
  <dimension ref="A2:H18"/>
  <sheetViews>
    <sheetView workbookViewId="0">
      <selection activeCell="W19" sqref="W19"/>
    </sheetView>
  </sheetViews>
  <sheetFormatPr defaultRowHeight="14.4" x14ac:dyDescent="0.3"/>
  <cols>
    <col min="1" max="1" width="24.33203125" bestFit="1" customWidth="1"/>
    <col min="2" max="2" width="16.88671875" bestFit="1" customWidth="1"/>
    <col min="3" max="3" width="20.33203125" bestFit="1" customWidth="1"/>
    <col min="4" max="4" width="3" bestFit="1" customWidth="1"/>
    <col min="5" max="5" width="4" bestFit="1" customWidth="1"/>
    <col min="6" max="9" width="3" bestFit="1" customWidth="1"/>
    <col min="10" max="24" width="4" bestFit="1" customWidth="1"/>
    <col min="25" max="25" width="5" bestFit="1" customWidth="1"/>
    <col min="26" max="29" width="4" bestFit="1" customWidth="1"/>
    <col min="30" max="30" width="5" bestFit="1" customWidth="1"/>
    <col min="31" max="35" width="4" bestFit="1" customWidth="1"/>
    <col min="36" max="36" width="5" bestFit="1" customWidth="1"/>
    <col min="37" max="37" width="4" bestFit="1" customWidth="1"/>
    <col min="38" max="39" width="5" bestFit="1" customWidth="1"/>
    <col min="40" max="43" width="4" bestFit="1" customWidth="1"/>
    <col min="44" max="46" width="5" bestFit="1" customWidth="1"/>
    <col min="47" max="47" width="4" bestFit="1" customWidth="1"/>
    <col min="48" max="49" width="5" bestFit="1" customWidth="1"/>
    <col min="50" max="50" width="4" bestFit="1" customWidth="1"/>
    <col min="51" max="51" width="5" bestFit="1" customWidth="1"/>
    <col min="52" max="53" width="4" bestFit="1" customWidth="1"/>
    <col min="54" max="54" width="5" bestFit="1" customWidth="1"/>
    <col min="55" max="55" width="4" bestFit="1" customWidth="1"/>
    <col min="56" max="57" width="5" bestFit="1" customWidth="1"/>
    <col min="58" max="58" width="4" bestFit="1" customWidth="1"/>
    <col min="59" max="59" width="5" bestFit="1" customWidth="1"/>
    <col min="60" max="62" width="4" bestFit="1" customWidth="1"/>
    <col min="63" max="63" width="5" bestFit="1" customWidth="1"/>
    <col min="64" max="66" width="4" bestFit="1" customWidth="1"/>
    <col min="67" max="68" width="5" bestFit="1" customWidth="1"/>
    <col min="69" max="71" width="4" bestFit="1" customWidth="1"/>
    <col min="72" max="72" width="5" bestFit="1" customWidth="1"/>
    <col min="73" max="78" width="4" bestFit="1" customWidth="1"/>
    <col min="79" max="79" width="5" bestFit="1" customWidth="1"/>
    <col min="80" max="80" width="4" bestFit="1" customWidth="1"/>
    <col min="81" max="82" width="5" bestFit="1" customWidth="1"/>
    <col min="83" max="85" width="4" bestFit="1" customWidth="1"/>
    <col min="86" max="87" width="5" bestFit="1" customWidth="1"/>
    <col min="88" max="91" width="4" bestFit="1" customWidth="1"/>
    <col min="92" max="92" width="5" bestFit="1" customWidth="1"/>
    <col min="93" max="93" width="4" bestFit="1" customWidth="1"/>
    <col min="94" max="94" width="5" bestFit="1" customWidth="1"/>
    <col min="95" max="98" width="4" bestFit="1" customWidth="1"/>
    <col min="99" max="100" width="5" bestFit="1" customWidth="1"/>
    <col min="101" max="101" width="4" bestFit="1" customWidth="1"/>
    <col min="102" max="103" width="5" bestFit="1" customWidth="1"/>
    <col min="104" max="104" width="4" bestFit="1" customWidth="1"/>
    <col min="105" max="106" width="5" bestFit="1" customWidth="1"/>
    <col min="107" max="109" width="4" bestFit="1" customWidth="1"/>
    <col min="110" max="121" width="5" bestFit="1" customWidth="1"/>
    <col min="122" max="122" width="4" bestFit="1" customWidth="1"/>
    <col min="123" max="127" width="5" bestFit="1" customWidth="1"/>
    <col min="128" max="128" width="10.77734375" bestFit="1" customWidth="1"/>
  </cols>
  <sheetData>
    <row r="2" spans="1:8" ht="28.2" x14ac:dyDescent="0.3">
      <c r="H2" s="18" t="s">
        <v>1556</v>
      </c>
    </row>
    <row r="3" spans="1:8" x14ac:dyDescent="0.3">
      <c r="A3" s="15" t="s">
        <v>1532</v>
      </c>
      <c r="B3" t="s">
        <v>1536</v>
      </c>
      <c r="C3" t="s">
        <v>1537</v>
      </c>
    </row>
    <row r="4" spans="1:8" x14ac:dyDescent="0.3">
      <c r="A4" s="16" t="s">
        <v>1402</v>
      </c>
      <c r="B4">
        <v>745</v>
      </c>
      <c r="C4">
        <v>147.74</v>
      </c>
    </row>
    <row r="5" spans="1:8" x14ac:dyDescent="0.3">
      <c r="A5" s="16" t="s">
        <v>663</v>
      </c>
      <c r="B5">
        <v>745</v>
      </c>
      <c r="C5">
        <v>147.74</v>
      </c>
    </row>
    <row r="6" spans="1:8" x14ac:dyDescent="0.3">
      <c r="A6" s="16" t="s">
        <v>1440</v>
      </c>
      <c r="B6">
        <v>687</v>
      </c>
      <c r="C6">
        <v>167.89</v>
      </c>
    </row>
    <row r="7" spans="1:8" x14ac:dyDescent="0.3">
      <c r="A7" s="16" t="s">
        <v>840</v>
      </c>
      <c r="B7">
        <v>687</v>
      </c>
      <c r="C7">
        <v>167.89</v>
      </c>
    </row>
    <row r="8" spans="1:8" x14ac:dyDescent="0.3">
      <c r="A8" s="16" t="s">
        <v>206</v>
      </c>
      <c r="B8">
        <v>687</v>
      </c>
      <c r="C8">
        <v>167.89</v>
      </c>
    </row>
    <row r="9" spans="1:8" x14ac:dyDescent="0.3">
      <c r="A9" s="16" t="s">
        <v>878</v>
      </c>
      <c r="B9">
        <v>687</v>
      </c>
      <c r="C9">
        <v>167.89</v>
      </c>
    </row>
    <row r="10" spans="1:8" x14ac:dyDescent="0.3">
      <c r="A10" s="16" t="s">
        <v>1016</v>
      </c>
      <c r="B10">
        <v>687</v>
      </c>
      <c r="C10">
        <v>167.89</v>
      </c>
    </row>
    <row r="11" spans="1:8" x14ac:dyDescent="0.3">
      <c r="A11" s="16" t="s">
        <v>1206</v>
      </c>
      <c r="B11">
        <v>687</v>
      </c>
      <c r="C11">
        <v>167.89</v>
      </c>
    </row>
    <row r="12" spans="1:8" x14ac:dyDescent="0.3">
      <c r="A12" s="16" t="s">
        <v>1010</v>
      </c>
      <c r="B12">
        <v>645</v>
      </c>
      <c r="C12">
        <v>147.24</v>
      </c>
    </row>
    <row r="13" spans="1:8" x14ac:dyDescent="0.3">
      <c r="A13" s="16" t="s">
        <v>1432</v>
      </c>
      <c r="B13">
        <v>645</v>
      </c>
      <c r="C13">
        <v>147.24</v>
      </c>
    </row>
    <row r="14" spans="1:8" x14ac:dyDescent="0.3">
      <c r="A14" s="16" t="s">
        <v>1256</v>
      </c>
      <c r="B14">
        <v>645</v>
      </c>
      <c r="C14">
        <v>147.24</v>
      </c>
    </row>
    <row r="15" spans="1:8" x14ac:dyDescent="0.3">
      <c r="A15" s="16" t="s">
        <v>580</v>
      </c>
      <c r="B15">
        <v>645</v>
      </c>
      <c r="C15">
        <v>147.24</v>
      </c>
    </row>
    <row r="16" spans="1:8" x14ac:dyDescent="0.3">
      <c r="A16" s="16" t="s">
        <v>722</v>
      </c>
      <c r="B16">
        <v>639</v>
      </c>
      <c r="C16">
        <v>140.6</v>
      </c>
    </row>
    <row r="17" spans="1:3" x14ac:dyDescent="0.3">
      <c r="A17" s="16" t="s">
        <v>940</v>
      </c>
      <c r="B17">
        <v>639</v>
      </c>
      <c r="C17">
        <v>140.6</v>
      </c>
    </row>
    <row r="18" spans="1:3" x14ac:dyDescent="0.3">
      <c r="A18" s="16" t="s">
        <v>1533</v>
      </c>
      <c r="B18">
        <v>9470</v>
      </c>
      <c r="C18">
        <v>155.21285714285713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A8AA46-CBB9-45FF-B462-92C7731F1CE6}">
  <dimension ref="A1:E15"/>
  <sheetViews>
    <sheetView workbookViewId="0">
      <selection activeCell="M15" sqref="M15"/>
    </sheetView>
  </sheetViews>
  <sheetFormatPr defaultRowHeight="14.4" x14ac:dyDescent="0.3"/>
  <cols>
    <col min="1" max="1" width="21.33203125" bestFit="1" customWidth="1"/>
    <col min="2" max="2" width="20.33203125" bestFit="1" customWidth="1"/>
    <col min="3" max="3" width="23.5546875" bestFit="1" customWidth="1"/>
  </cols>
  <sheetData>
    <row r="1" spans="1:5" x14ac:dyDescent="0.3">
      <c r="A1" s="15" t="s">
        <v>438</v>
      </c>
      <c r="B1" t="s">
        <v>471</v>
      </c>
    </row>
    <row r="2" spans="1:5" ht="22.8" x14ac:dyDescent="0.3">
      <c r="E2" s="28" t="s">
        <v>1555</v>
      </c>
    </row>
    <row r="3" spans="1:5" x14ac:dyDescent="0.3">
      <c r="A3" s="15" t="s">
        <v>1532</v>
      </c>
      <c r="B3" t="s">
        <v>1538</v>
      </c>
      <c r="C3" t="s">
        <v>1539</v>
      </c>
    </row>
    <row r="4" spans="1:5" x14ac:dyDescent="0.3">
      <c r="A4" s="16" t="s">
        <v>288</v>
      </c>
      <c r="B4">
        <v>31</v>
      </c>
      <c r="C4">
        <v>7.88</v>
      </c>
    </row>
    <row r="5" spans="1:5" x14ac:dyDescent="0.3">
      <c r="A5" s="16" t="s">
        <v>1466</v>
      </c>
      <c r="B5">
        <v>31</v>
      </c>
      <c r="C5">
        <v>7.88</v>
      </c>
    </row>
    <row r="6" spans="1:5" x14ac:dyDescent="0.3">
      <c r="A6" s="16" t="s">
        <v>1408</v>
      </c>
      <c r="B6">
        <v>31</v>
      </c>
      <c r="C6">
        <v>6.57</v>
      </c>
    </row>
    <row r="7" spans="1:5" x14ac:dyDescent="0.3">
      <c r="A7" s="16" t="s">
        <v>732</v>
      </c>
      <c r="B7">
        <v>31</v>
      </c>
      <c r="C7">
        <v>6.57</v>
      </c>
    </row>
    <row r="8" spans="1:5" x14ac:dyDescent="0.3">
      <c r="A8" s="16" t="s">
        <v>1498</v>
      </c>
      <c r="B8">
        <v>31</v>
      </c>
      <c r="C8">
        <v>7.88</v>
      </c>
    </row>
    <row r="9" spans="1:5" x14ac:dyDescent="0.3">
      <c r="A9" s="16" t="s">
        <v>888</v>
      </c>
      <c r="B9">
        <v>31</v>
      </c>
      <c r="C9">
        <v>7.88</v>
      </c>
    </row>
    <row r="10" spans="1:5" x14ac:dyDescent="0.3">
      <c r="A10" s="16" t="s">
        <v>1134</v>
      </c>
      <c r="B10">
        <v>31</v>
      </c>
      <c r="C10">
        <v>7.88</v>
      </c>
    </row>
    <row r="11" spans="1:5" x14ac:dyDescent="0.3">
      <c r="A11" s="16" t="s">
        <v>1286</v>
      </c>
      <c r="B11">
        <v>31</v>
      </c>
      <c r="C11">
        <v>7.88</v>
      </c>
    </row>
    <row r="12" spans="1:5" x14ac:dyDescent="0.3">
      <c r="A12" s="16" t="s">
        <v>1028</v>
      </c>
      <c r="B12">
        <v>31</v>
      </c>
      <c r="C12">
        <v>7.88</v>
      </c>
    </row>
    <row r="13" spans="1:5" x14ac:dyDescent="0.3">
      <c r="A13" s="16" t="s">
        <v>1460</v>
      </c>
      <c r="B13">
        <v>31</v>
      </c>
      <c r="C13">
        <v>7.88</v>
      </c>
    </row>
    <row r="14" spans="1:5" x14ac:dyDescent="0.3">
      <c r="A14" s="16" t="s">
        <v>898</v>
      </c>
      <c r="B14">
        <v>31</v>
      </c>
      <c r="C14">
        <v>7.88</v>
      </c>
    </row>
    <row r="15" spans="1:5" x14ac:dyDescent="0.3">
      <c r="A15" s="16" t="s">
        <v>1533</v>
      </c>
      <c r="B15">
        <v>341</v>
      </c>
      <c r="C15">
        <v>7.6418181818181816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CC078-681D-444F-9F4F-CFDD595D236F}">
  <dimension ref="A2:F14"/>
  <sheetViews>
    <sheetView workbookViewId="0">
      <selection activeCell="F2" sqref="F2"/>
    </sheetView>
  </sheetViews>
  <sheetFormatPr defaultRowHeight="14.4" x14ac:dyDescent="0.3"/>
  <cols>
    <col min="1" max="1" width="40.77734375" bestFit="1" customWidth="1"/>
    <col min="2" max="2" width="7.44140625" bestFit="1" customWidth="1"/>
    <col min="3" max="3" width="12" bestFit="1" customWidth="1"/>
  </cols>
  <sheetData>
    <row r="2" spans="1:6" ht="22.8" x14ac:dyDescent="0.45">
      <c r="F2" s="29" t="s">
        <v>1557</v>
      </c>
    </row>
    <row r="3" spans="1:6" x14ac:dyDescent="0.3">
      <c r="A3" s="15" t="s">
        <v>1532</v>
      </c>
      <c r="B3" t="s">
        <v>1558</v>
      </c>
      <c r="C3" t="s">
        <v>1559</v>
      </c>
    </row>
    <row r="4" spans="1:6" x14ac:dyDescent="0.3">
      <c r="A4" s="16" t="s">
        <v>45</v>
      </c>
      <c r="B4" s="24">
        <v>166.17714285714283</v>
      </c>
      <c r="C4">
        <v>159.57142857142858</v>
      </c>
    </row>
    <row r="5" spans="1:6" x14ac:dyDescent="0.3">
      <c r="A5" s="16" t="s">
        <v>80</v>
      </c>
      <c r="B5" s="24">
        <v>182.27999999999997</v>
      </c>
      <c r="C5">
        <v>190.75</v>
      </c>
    </row>
    <row r="6" spans="1:6" x14ac:dyDescent="0.3">
      <c r="A6" s="16" t="s">
        <v>110</v>
      </c>
      <c r="B6" s="24">
        <v>184.78624999999997</v>
      </c>
      <c r="C6">
        <v>188.125</v>
      </c>
    </row>
    <row r="7" spans="1:6" x14ac:dyDescent="0.3">
      <c r="A7" s="16" t="s">
        <v>36</v>
      </c>
      <c r="B7" s="24">
        <v>176.65249999999997</v>
      </c>
      <c r="C7">
        <v>156.625</v>
      </c>
    </row>
    <row r="8" spans="1:6" x14ac:dyDescent="0.3">
      <c r="A8" s="16" t="s">
        <v>117</v>
      </c>
      <c r="B8" s="24">
        <v>186.48555555555552</v>
      </c>
      <c r="C8">
        <v>157.22222222222223</v>
      </c>
    </row>
    <row r="9" spans="1:6" x14ac:dyDescent="0.3">
      <c r="A9" s="16" t="s">
        <v>68</v>
      </c>
      <c r="B9" s="24">
        <v>184.86499999999998</v>
      </c>
      <c r="C9">
        <v>183.83333333333334</v>
      </c>
    </row>
    <row r="10" spans="1:6" x14ac:dyDescent="0.3">
      <c r="A10" s="16" t="s">
        <v>54</v>
      </c>
      <c r="B10" s="24">
        <v>180.57777777777775</v>
      </c>
      <c r="C10">
        <v>167.22222222222223</v>
      </c>
    </row>
    <row r="11" spans="1:6" x14ac:dyDescent="0.3">
      <c r="A11" s="16" t="s">
        <v>124</v>
      </c>
      <c r="B11" s="24">
        <v>188.22199999999998</v>
      </c>
      <c r="C11">
        <v>173.6</v>
      </c>
    </row>
    <row r="12" spans="1:6" x14ac:dyDescent="0.3">
      <c r="A12" s="16" t="s">
        <v>141</v>
      </c>
      <c r="B12" s="24">
        <v>194.60857142857139</v>
      </c>
      <c r="C12">
        <v>152.14285714285714</v>
      </c>
    </row>
    <row r="13" spans="1:6" x14ac:dyDescent="0.3">
      <c r="A13" s="16" t="s">
        <v>18</v>
      </c>
      <c r="B13" s="24">
        <v>177.94999999999996</v>
      </c>
      <c r="C13">
        <v>179.63636363636363</v>
      </c>
    </row>
    <row r="14" spans="1:6" x14ac:dyDescent="0.3">
      <c r="A14" s="16" t="s">
        <v>1533</v>
      </c>
      <c r="B14" s="24">
        <v>181.85743243243249</v>
      </c>
      <c r="C14">
        <v>169.86486486486487</v>
      </c>
    </row>
  </sheetData>
  <pageMargins left="0.7" right="0.7" top="0.75" bottom="0.75" header="0.3" footer="0.3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34148-0C10-4A9F-B671-E49797F45310}">
  <dimension ref="A1:C14"/>
  <sheetViews>
    <sheetView workbookViewId="0">
      <selection activeCell="C19" sqref="C19"/>
    </sheetView>
  </sheetViews>
  <sheetFormatPr defaultRowHeight="14.4" x14ac:dyDescent="0.3"/>
  <cols>
    <col min="1" max="1" width="24.21875" bestFit="1" customWidth="1"/>
    <col min="2" max="2" width="10.44140625" bestFit="1" customWidth="1"/>
    <col min="3" max="3" width="21.88671875" bestFit="1" customWidth="1"/>
    <col min="4" max="4" width="10.44140625" bestFit="1" customWidth="1"/>
  </cols>
  <sheetData>
    <row r="1" spans="1:3" ht="22.8" x14ac:dyDescent="0.3">
      <c r="C1" s="28" t="s">
        <v>1551</v>
      </c>
    </row>
    <row r="3" spans="1:3" x14ac:dyDescent="0.3">
      <c r="A3" s="25" t="s">
        <v>1532</v>
      </c>
      <c r="B3" t="s">
        <v>1550</v>
      </c>
      <c r="C3" t="s">
        <v>1552</v>
      </c>
    </row>
    <row r="4" spans="1:3" x14ac:dyDescent="0.3">
      <c r="A4" s="16" t="s">
        <v>38</v>
      </c>
      <c r="B4" s="21">
        <v>0.66666666666666663</v>
      </c>
      <c r="C4">
        <v>4</v>
      </c>
    </row>
    <row r="5" spans="1:3" x14ac:dyDescent="0.3">
      <c r="A5" s="16" t="s">
        <v>28</v>
      </c>
      <c r="B5" s="21">
        <v>0.58333333333333337</v>
      </c>
      <c r="C5">
        <v>7</v>
      </c>
    </row>
    <row r="6" spans="1:3" x14ac:dyDescent="0.3">
      <c r="A6" s="16" t="s">
        <v>20</v>
      </c>
      <c r="B6" s="21">
        <v>0.5714285714285714</v>
      </c>
      <c r="C6">
        <v>4</v>
      </c>
    </row>
    <row r="7" spans="1:3" x14ac:dyDescent="0.3">
      <c r="A7" s="16" t="s">
        <v>55</v>
      </c>
      <c r="B7" s="21">
        <v>0.55555555555555558</v>
      </c>
      <c r="C7">
        <v>5</v>
      </c>
    </row>
    <row r="8" spans="1:3" x14ac:dyDescent="0.3">
      <c r="A8" s="16" t="s">
        <v>37</v>
      </c>
      <c r="B8" s="21">
        <v>0.5</v>
      </c>
      <c r="C8">
        <v>5</v>
      </c>
    </row>
    <row r="9" spans="1:3" x14ac:dyDescent="0.3">
      <c r="A9" s="16" t="s">
        <v>19</v>
      </c>
      <c r="B9" s="21">
        <v>0.5</v>
      </c>
      <c r="C9">
        <v>4</v>
      </c>
    </row>
    <row r="10" spans="1:3" x14ac:dyDescent="0.3">
      <c r="A10" s="16" t="s">
        <v>81</v>
      </c>
      <c r="B10" s="21">
        <v>0.5</v>
      </c>
      <c r="C10">
        <v>1</v>
      </c>
    </row>
    <row r="11" spans="1:3" x14ac:dyDescent="0.3">
      <c r="A11" s="16" t="s">
        <v>47</v>
      </c>
      <c r="B11" s="21">
        <v>0.4</v>
      </c>
      <c r="C11">
        <v>2</v>
      </c>
    </row>
    <row r="12" spans="1:3" x14ac:dyDescent="0.3">
      <c r="A12" s="16" t="s">
        <v>142</v>
      </c>
      <c r="B12" s="21">
        <v>0.2857142857142857</v>
      </c>
      <c r="C12">
        <v>2</v>
      </c>
    </row>
    <row r="13" spans="1:3" x14ac:dyDescent="0.3">
      <c r="A13" s="16" t="s">
        <v>46</v>
      </c>
      <c r="B13" s="21">
        <v>0.2857142857142857</v>
      </c>
      <c r="C13">
        <v>2</v>
      </c>
    </row>
    <row r="14" spans="1:3" x14ac:dyDescent="0.3">
      <c r="A14" s="16" t="s">
        <v>1533</v>
      </c>
      <c r="B14" s="21">
        <v>0.49315068493150682</v>
      </c>
      <c r="C14">
        <v>36</v>
      </c>
    </row>
  </sheetData>
  <pageMargins left="0.7" right="0.7" top="0.75" bottom="0.75" header="0.3" footer="0.3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FA514F-F3A7-4A2F-ABF2-4A60571BA3AD}">
  <dimension ref="A3:F14"/>
  <sheetViews>
    <sheetView zoomScale="74" workbookViewId="0">
      <selection activeCell="E20" sqref="E20"/>
    </sheetView>
  </sheetViews>
  <sheetFormatPr defaultRowHeight="14.4" x14ac:dyDescent="0.3"/>
  <cols>
    <col min="1" max="1" width="13.88671875" bestFit="1" customWidth="1"/>
    <col min="2" max="3" width="12.5546875" bestFit="1" customWidth="1"/>
    <col min="4" max="4" width="12" bestFit="1" customWidth="1"/>
  </cols>
  <sheetData>
    <row r="3" spans="1:6" ht="37.200000000000003" x14ac:dyDescent="0.45">
      <c r="A3" s="38" t="s">
        <v>1532</v>
      </c>
      <c r="B3" s="36" t="s">
        <v>1543</v>
      </c>
      <c r="F3" s="37" t="s">
        <v>1548</v>
      </c>
    </row>
    <row r="4" spans="1:6" ht="23.4" x14ac:dyDescent="0.45">
      <c r="A4" s="35" t="s">
        <v>779</v>
      </c>
      <c r="B4" s="36">
        <v>17.48225788841577</v>
      </c>
    </row>
    <row r="5" spans="1:6" ht="23.4" x14ac:dyDescent="0.45">
      <c r="A5" s="35" t="s">
        <v>555</v>
      </c>
      <c r="B5" s="36">
        <v>14.342076261847037</v>
      </c>
    </row>
    <row r="6" spans="1:6" ht="23.4" x14ac:dyDescent="0.45">
      <c r="A6" s="35" t="s">
        <v>588</v>
      </c>
      <c r="B6" s="36">
        <v>13.968051118210866</v>
      </c>
    </row>
    <row r="7" spans="1:6" ht="23.4" x14ac:dyDescent="0.45">
      <c r="A7" s="35" t="s">
        <v>717</v>
      </c>
      <c r="B7" s="36">
        <v>13.79351312819294</v>
      </c>
    </row>
    <row r="8" spans="1:6" ht="23.4" x14ac:dyDescent="0.45">
      <c r="A8" s="35" t="s">
        <v>622</v>
      </c>
      <c r="B8" s="36">
        <v>13.64074617480612</v>
      </c>
    </row>
    <row r="9" spans="1:6" ht="23.4" x14ac:dyDescent="0.45">
      <c r="A9" s="35" t="s">
        <v>750</v>
      </c>
      <c r="B9" s="36">
        <v>13.14441472947953</v>
      </c>
    </row>
    <row r="10" spans="1:6" ht="23.4" x14ac:dyDescent="0.45">
      <c r="A10" s="35" t="s">
        <v>523</v>
      </c>
      <c r="B10" s="36">
        <v>12.391304347826088</v>
      </c>
    </row>
    <row r="11" spans="1:6" ht="23.4" x14ac:dyDescent="0.45">
      <c r="A11" s="35" t="s">
        <v>469</v>
      </c>
      <c r="B11" s="36">
        <v>12.119706136560072</v>
      </c>
    </row>
    <row r="12" spans="1:6" ht="23.4" x14ac:dyDescent="0.45">
      <c r="A12" s="35" t="s">
        <v>654</v>
      </c>
      <c r="B12" s="36">
        <v>12.061933534743204</v>
      </c>
    </row>
    <row r="13" spans="1:6" ht="23.4" x14ac:dyDescent="0.45">
      <c r="A13" s="35" t="s">
        <v>684</v>
      </c>
      <c r="B13" s="36">
        <v>11.646086879275117</v>
      </c>
    </row>
    <row r="14" spans="1:6" ht="23.4" x14ac:dyDescent="0.45">
      <c r="A14" s="35" t="s">
        <v>1533</v>
      </c>
      <c r="B14" s="36">
        <v>13.384124161345083</v>
      </c>
    </row>
  </sheetData>
  <pageMargins left="0.7" right="0.7" top="0.75" bottom="0.75" header="0.3" footer="0.3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3D434D-6ED1-40B3-94A7-7F2E484CD13B}">
  <dimension ref="A2:E28"/>
  <sheetViews>
    <sheetView topLeftCell="A2" zoomScale="77" workbookViewId="0">
      <selection activeCell="E2" sqref="E2"/>
    </sheetView>
  </sheetViews>
  <sheetFormatPr defaultRowHeight="14.4" x14ac:dyDescent="0.3"/>
  <cols>
    <col min="1" max="1" width="28.44140625" bestFit="1" customWidth="1"/>
    <col min="2" max="2" width="17.109375" bestFit="1" customWidth="1"/>
    <col min="3" max="3" width="10.6640625" bestFit="1" customWidth="1"/>
    <col min="4" max="4" width="12" bestFit="1" customWidth="1"/>
  </cols>
  <sheetData>
    <row r="2" spans="1:5" ht="33.6" x14ac:dyDescent="0.3">
      <c r="E2" s="39" t="s">
        <v>1564</v>
      </c>
    </row>
    <row r="3" spans="1:5" x14ac:dyDescent="0.3">
      <c r="A3" s="15" t="s">
        <v>1532</v>
      </c>
      <c r="B3" t="s">
        <v>1536</v>
      </c>
    </row>
    <row r="4" spans="1:5" x14ac:dyDescent="0.3">
      <c r="A4" s="16" t="s">
        <v>523</v>
      </c>
      <c r="B4" s="40">
        <v>1908</v>
      </c>
    </row>
    <row r="5" spans="1:5" x14ac:dyDescent="0.3">
      <c r="A5" s="19" t="s">
        <v>1126</v>
      </c>
      <c r="B5" s="40">
        <v>636</v>
      </c>
    </row>
    <row r="6" spans="1:5" x14ac:dyDescent="0.3">
      <c r="A6" s="19" t="s">
        <v>1434</v>
      </c>
      <c r="B6" s="40">
        <v>636</v>
      </c>
    </row>
    <row r="7" spans="1:5" x14ac:dyDescent="0.3">
      <c r="A7" s="19" t="s">
        <v>1032</v>
      </c>
      <c r="B7" s="40">
        <v>636</v>
      </c>
    </row>
    <row r="8" spans="1:5" x14ac:dyDescent="0.3">
      <c r="A8" s="16" t="s">
        <v>622</v>
      </c>
      <c r="B8" s="40">
        <v>1374</v>
      </c>
    </row>
    <row r="9" spans="1:5" x14ac:dyDescent="0.3">
      <c r="A9" s="19" t="s">
        <v>878</v>
      </c>
      <c r="B9" s="40">
        <v>687</v>
      </c>
    </row>
    <row r="10" spans="1:5" x14ac:dyDescent="0.3">
      <c r="A10" s="19" t="s">
        <v>206</v>
      </c>
      <c r="B10" s="40">
        <v>687</v>
      </c>
    </row>
    <row r="11" spans="1:5" x14ac:dyDescent="0.3">
      <c r="A11" s="16" t="s">
        <v>779</v>
      </c>
      <c r="B11" s="40">
        <v>596</v>
      </c>
    </row>
    <row r="12" spans="1:5" x14ac:dyDescent="0.3">
      <c r="A12" s="19" t="s">
        <v>1442</v>
      </c>
      <c r="B12" s="40">
        <v>596</v>
      </c>
    </row>
    <row r="13" spans="1:5" x14ac:dyDescent="0.3">
      <c r="A13" s="16" t="s">
        <v>588</v>
      </c>
      <c r="B13" s="40">
        <v>745</v>
      </c>
    </row>
    <row r="14" spans="1:5" x14ac:dyDescent="0.3">
      <c r="A14" s="19" t="s">
        <v>1402</v>
      </c>
      <c r="B14" s="40">
        <v>745</v>
      </c>
    </row>
    <row r="15" spans="1:5" x14ac:dyDescent="0.3">
      <c r="A15" s="16" t="s">
        <v>750</v>
      </c>
      <c r="B15" s="40">
        <v>580</v>
      </c>
    </row>
    <row r="16" spans="1:5" x14ac:dyDescent="0.3">
      <c r="A16" s="19" t="s">
        <v>1454</v>
      </c>
      <c r="B16" s="40">
        <v>580</v>
      </c>
    </row>
    <row r="17" spans="1:2" x14ac:dyDescent="0.3">
      <c r="A17" s="16" t="s">
        <v>469</v>
      </c>
      <c r="B17" s="40">
        <v>596</v>
      </c>
    </row>
    <row r="18" spans="1:2" x14ac:dyDescent="0.3">
      <c r="A18" s="19" t="s">
        <v>1120</v>
      </c>
      <c r="B18" s="40">
        <v>596</v>
      </c>
    </row>
    <row r="19" spans="1:2" x14ac:dyDescent="0.3">
      <c r="A19" s="16" t="s">
        <v>654</v>
      </c>
      <c r="B19" s="40">
        <v>745</v>
      </c>
    </row>
    <row r="20" spans="1:2" x14ac:dyDescent="0.3">
      <c r="A20" s="19" t="s">
        <v>663</v>
      </c>
      <c r="B20" s="40">
        <v>745</v>
      </c>
    </row>
    <row r="21" spans="1:2" x14ac:dyDescent="0.3">
      <c r="A21" s="16" t="s">
        <v>555</v>
      </c>
      <c r="B21" s="40">
        <v>1290</v>
      </c>
    </row>
    <row r="22" spans="1:2" x14ac:dyDescent="0.3">
      <c r="A22" s="19" t="s">
        <v>580</v>
      </c>
      <c r="B22" s="40">
        <v>645</v>
      </c>
    </row>
    <row r="23" spans="1:2" x14ac:dyDescent="0.3">
      <c r="A23" s="19" t="s">
        <v>1256</v>
      </c>
      <c r="B23" s="40">
        <v>645</v>
      </c>
    </row>
    <row r="24" spans="1:2" x14ac:dyDescent="0.3">
      <c r="A24" s="16" t="s">
        <v>684</v>
      </c>
      <c r="B24" s="40">
        <v>636</v>
      </c>
    </row>
    <row r="25" spans="1:2" x14ac:dyDescent="0.3">
      <c r="A25" s="19" t="s">
        <v>1474</v>
      </c>
      <c r="B25" s="40">
        <v>636</v>
      </c>
    </row>
    <row r="26" spans="1:2" x14ac:dyDescent="0.3">
      <c r="A26" s="16" t="s">
        <v>717</v>
      </c>
      <c r="B26" s="40">
        <v>687</v>
      </c>
    </row>
    <row r="27" spans="1:2" x14ac:dyDescent="0.3">
      <c r="A27" s="19" t="s">
        <v>1016</v>
      </c>
      <c r="B27" s="40">
        <v>687</v>
      </c>
    </row>
    <row r="28" spans="1:2" x14ac:dyDescent="0.3">
      <c r="A28" s="16" t="s">
        <v>1533</v>
      </c>
      <c r="B28" s="40">
        <v>9157</v>
      </c>
    </row>
  </sheetData>
  <pageMargins left="0.7" right="0.7" top="0.75" bottom="0.75" header="0.3" footer="0.3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1E46D1-E61E-492F-BF76-C6CB93038FD2}">
  <dimension ref="A2:F14"/>
  <sheetViews>
    <sheetView workbookViewId="0">
      <selection activeCell="F2" sqref="F2"/>
    </sheetView>
  </sheetViews>
  <sheetFormatPr defaultRowHeight="14.4" x14ac:dyDescent="0.3"/>
  <cols>
    <col min="1" max="1" width="12.5546875" bestFit="1" customWidth="1"/>
    <col min="2" max="4" width="12" bestFit="1" customWidth="1"/>
  </cols>
  <sheetData>
    <row r="2" spans="1:6" ht="22.8" x14ac:dyDescent="0.45">
      <c r="F2" s="29" t="s">
        <v>1546</v>
      </c>
    </row>
    <row r="3" spans="1:6" x14ac:dyDescent="0.3">
      <c r="A3" s="15" t="s">
        <v>1532</v>
      </c>
      <c r="B3" t="s">
        <v>1553</v>
      </c>
    </row>
    <row r="4" spans="1:6" x14ac:dyDescent="0.3">
      <c r="A4" s="16" t="s">
        <v>750</v>
      </c>
      <c r="B4">
        <v>0.69230769230769229</v>
      </c>
    </row>
    <row r="5" spans="1:6" x14ac:dyDescent="0.3">
      <c r="A5" s="16" t="s">
        <v>523</v>
      </c>
      <c r="B5">
        <v>0.6875</v>
      </c>
    </row>
    <row r="6" spans="1:6" x14ac:dyDescent="0.3">
      <c r="A6" s="16" t="s">
        <v>654</v>
      </c>
      <c r="B6">
        <v>0.66666666666666663</v>
      </c>
    </row>
    <row r="7" spans="1:6" x14ac:dyDescent="0.3">
      <c r="A7" s="16" t="s">
        <v>588</v>
      </c>
      <c r="B7">
        <v>0.5625</v>
      </c>
    </row>
    <row r="8" spans="1:6" x14ac:dyDescent="0.3">
      <c r="A8" s="16" t="s">
        <v>779</v>
      </c>
      <c r="B8">
        <v>0.5</v>
      </c>
    </row>
    <row r="9" spans="1:6" x14ac:dyDescent="0.3">
      <c r="A9" s="16" t="s">
        <v>717</v>
      </c>
      <c r="B9">
        <v>0.5</v>
      </c>
    </row>
    <row r="10" spans="1:6" x14ac:dyDescent="0.3">
      <c r="A10" s="16" t="s">
        <v>555</v>
      </c>
      <c r="B10">
        <v>0.4375</v>
      </c>
    </row>
    <row r="11" spans="1:6" x14ac:dyDescent="0.3">
      <c r="A11" s="16" t="s">
        <v>469</v>
      </c>
      <c r="B11">
        <v>0.4</v>
      </c>
    </row>
    <row r="12" spans="1:6" x14ac:dyDescent="0.3">
      <c r="A12" s="16" t="s">
        <v>684</v>
      </c>
      <c r="B12">
        <v>0.33333333333333331</v>
      </c>
    </row>
    <row r="13" spans="1:6" x14ac:dyDescent="0.3">
      <c r="A13" s="16" t="s">
        <v>622</v>
      </c>
      <c r="B13">
        <v>0.21428571428571427</v>
      </c>
    </row>
    <row r="14" spans="1:6" x14ac:dyDescent="0.3">
      <c r="A14" s="16" t="s">
        <v>1533</v>
      </c>
      <c r="B14">
        <v>0.5</v>
      </c>
    </row>
  </sheetData>
  <pageMargins left="0.7" right="0.7" top="0.75" bottom="0.75" header="0.3" footer="0.3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5CD29F-2712-4CD5-ABF1-429474BF62BF}">
  <dimension ref="A3:E17"/>
  <sheetViews>
    <sheetView workbookViewId="0">
      <selection activeCell="D3" sqref="D3"/>
    </sheetView>
  </sheetViews>
  <sheetFormatPr defaultRowHeight="14.4" x14ac:dyDescent="0.3"/>
  <cols>
    <col min="1" max="1" width="21.88671875" bestFit="1" customWidth="1"/>
    <col min="2" max="2" width="21.6640625" bestFit="1" customWidth="1"/>
    <col min="3" max="5" width="21.77734375" bestFit="1" customWidth="1"/>
  </cols>
  <sheetData>
    <row r="3" spans="1:5" ht="25.2" x14ac:dyDescent="0.5">
      <c r="A3" s="15" t="s">
        <v>1532</v>
      </c>
      <c r="B3" t="s">
        <v>1540</v>
      </c>
      <c r="C3" t="s">
        <v>1541</v>
      </c>
      <c r="D3" s="41" t="s">
        <v>1565</v>
      </c>
      <c r="E3" s="41"/>
    </row>
    <row r="4" spans="1:5" x14ac:dyDescent="0.3">
      <c r="A4" s="16" t="s">
        <v>1256</v>
      </c>
      <c r="B4">
        <v>53.75</v>
      </c>
      <c r="C4">
        <v>133</v>
      </c>
    </row>
    <row r="5" spans="1:5" x14ac:dyDescent="0.3">
      <c r="A5" s="16" t="s">
        <v>1432</v>
      </c>
      <c r="B5">
        <v>53.75</v>
      </c>
      <c r="C5">
        <v>133</v>
      </c>
    </row>
    <row r="6" spans="1:5" x14ac:dyDescent="0.3">
      <c r="A6" s="16" t="s">
        <v>580</v>
      </c>
      <c r="B6">
        <v>53.75</v>
      </c>
      <c r="C6">
        <v>133</v>
      </c>
    </row>
    <row r="7" spans="1:5" x14ac:dyDescent="0.3">
      <c r="A7" s="16" t="s">
        <v>1010</v>
      </c>
      <c r="B7">
        <v>53.75</v>
      </c>
      <c r="C7">
        <v>133</v>
      </c>
    </row>
    <row r="8" spans="1:5" x14ac:dyDescent="0.3">
      <c r="A8" s="16" t="s">
        <v>1120</v>
      </c>
      <c r="B8">
        <v>54.18</v>
      </c>
      <c r="C8">
        <v>106</v>
      </c>
    </row>
    <row r="9" spans="1:5" x14ac:dyDescent="0.3">
      <c r="A9" s="16" t="s">
        <v>170</v>
      </c>
      <c r="B9">
        <v>54.18</v>
      </c>
      <c r="C9">
        <v>106</v>
      </c>
    </row>
    <row r="10" spans="1:5" x14ac:dyDescent="0.3">
      <c r="A10" s="16" t="s">
        <v>1264</v>
      </c>
      <c r="B10">
        <v>54.18</v>
      </c>
      <c r="C10">
        <v>106</v>
      </c>
    </row>
    <row r="11" spans="1:5" x14ac:dyDescent="0.3">
      <c r="A11" s="16" t="s">
        <v>1442</v>
      </c>
      <c r="B11">
        <v>54.18</v>
      </c>
      <c r="C11">
        <v>106</v>
      </c>
    </row>
    <row r="12" spans="1:5" x14ac:dyDescent="0.3">
      <c r="A12" s="16" t="s">
        <v>639</v>
      </c>
      <c r="B12">
        <v>54.89</v>
      </c>
      <c r="C12">
        <v>97</v>
      </c>
    </row>
    <row r="13" spans="1:5" x14ac:dyDescent="0.3">
      <c r="A13" s="16" t="s">
        <v>1194</v>
      </c>
      <c r="B13">
        <v>54.43</v>
      </c>
      <c r="C13">
        <v>78</v>
      </c>
    </row>
    <row r="14" spans="1:5" x14ac:dyDescent="0.3">
      <c r="A14" s="16" t="s">
        <v>896</v>
      </c>
      <c r="B14">
        <v>54.43</v>
      </c>
      <c r="C14">
        <v>78</v>
      </c>
    </row>
    <row r="15" spans="1:5" x14ac:dyDescent="0.3">
      <c r="A15" s="16" t="s">
        <v>761</v>
      </c>
      <c r="B15">
        <v>54.43</v>
      </c>
      <c r="C15">
        <v>78</v>
      </c>
    </row>
    <row r="16" spans="1:5" x14ac:dyDescent="0.3">
      <c r="A16" s="16" t="s">
        <v>146</v>
      </c>
      <c r="B16">
        <v>54</v>
      </c>
      <c r="C16">
        <v>69</v>
      </c>
    </row>
    <row r="17" spans="1:3" x14ac:dyDescent="0.3">
      <c r="A17" s="16" t="s">
        <v>1533</v>
      </c>
      <c r="B17">
        <v>703.89999999999986</v>
      </c>
      <c r="C17">
        <v>1356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52BBA7-357D-439E-868B-18B58279CC0F}">
  <dimension ref="A1:D14"/>
  <sheetViews>
    <sheetView tabSelected="1" topLeftCell="B1" workbookViewId="0">
      <selection activeCell="N20" sqref="N20"/>
    </sheetView>
  </sheetViews>
  <sheetFormatPr defaultRowHeight="14.4" x14ac:dyDescent="0.3"/>
  <cols>
    <col min="1" max="1" width="24.21875" bestFit="1" customWidth="1"/>
    <col min="2" max="2" width="23" bestFit="1" customWidth="1"/>
    <col min="3" max="3" width="16.88671875" bestFit="1" customWidth="1"/>
    <col min="4" max="4" width="20.33203125" bestFit="1" customWidth="1"/>
  </cols>
  <sheetData>
    <row r="1" spans="1:4" ht="28.2" x14ac:dyDescent="0.3">
      <c r="B1" s="42" t="s">
        <v>1549</v>
      </c>
    </row>
    <row r="3" spans="1:4" x14ac:dyDescent="0.3">
      <c r="A3" s="15" t="s">
        <v>1532</v>
      </c>
      <c r="B3" t="s">
        <v>1547</v>
      </c>
      <c r="C3" t="s">
        <v>1536</v>
      </c>
      <c r="D3" t="s">
        <v>1538</v>
      </c>
    </row>
    <row r="4" spans="1:4" x14ac:dyDescent="0.3">
      <c r="A4" s="16" t="s">
        <v>20</v>
      </c>
      <c r="B4">
        <v>56</v>
      </c>
      <c r="C4">
        <v>13623</v>
      </c>
      <c r="D4">
        <v>321</v>
      </c>
    </row>
    <row r="5" spans="1:4" x14ac:dyDescent="0.3">
      <c r="A5" s="16" t="s">
        <v>46</v>
      </c>
      <c r="B5">
        <v>49</v>
      </c>
      <c r="C5">
        <v>13016</v>
      </c>
      <c r="D5">
        <v>406</v>
      </c>
    </row>
    <row r="6" spans="1:4" x14ac:dyDescent="0.3">
      <c r="A6" s="16" t="s">
        <v>28</v>
      </c>
      <c r="B6">
        <v>58</v>
      </c>
      <c r="C6">
        <v>16012</v>
      </c>
      <c r="D6">
        <v>367</v>
      </c>
    </row>
    <row r="7" spans="1:4" x14ac:dyDescent="0.3">
      <c r="A7" s="16" t="s">
        <v>55</v>
      </c>
      <c r="B7">
        <v>53</v>
      </c>
      <c r="C7">
        <v>15302</v>
      </c>
      <c r="D7">
        <v>317</v>
      </c>
    </row>
    <row r="8" spans="1:4" x14ac:dyDescent="0.3">
      <c r="A8" s="16" t="s">
        <v>81</v>
      </c>
      <c r="B8">
        <v>49</v>
      </c>
      <c r="C8">
        <v>12779</v>
      </c>
      <c r="D8">
        <v>374</v>
      </c>
    </row>
    <row r="9" spans="1:4" x14ac:dyDescent="0.3">
      <c r="A9" s="16" t="s">
        <v>19</v>
      </c>
      <c r="B9">
        <v>47</v>
      </c>
      <c r="C9">
        <v>11218</v>
      </c>
      <c r="D9">
        <v>356</v>
      </c>
    </row>
    <row r="10" spans="1:4" x14ac:dyDescent="0.3">
      <c r="A10" s="16" t="s">
        <v>38</v>
      </c>
      <c r="B10">
        <v>50</v>
      </c>
      <c r="C10">
        <v>12776</v>
      </c>
      <c r="D10">
        <v>366</v>
      </c>
    </row>
    <row r="11" spans="1:4" x14ac:dyDescent="0.3">
      <c r="A11" s="16" t="s">
        <v>142</v>
      </c>
      <c r="B11">
        <v>47</v>
      </c>
      <c r="C11">
        <v>13110</v>
      </c>
      <c r="D11">
        <v>377</v>
      </c>
    </row>
    <row r="12" spans="1:4" x14ac:dyDescent="0.3">
      <c r="A12" s="16" t="s">
        <v>37</v>
      </c>
      <c r="B12">
        <v>45</v>
      </c>
      <c r="C12">
        <v>13014</v>
      </c>
      <c r="D12">
        <v>356</v>
      </c>
    </row>
    <row r="13" spans="1:4" x14ac:dyDescent="0.3">
      <c r="A13" s="16" t="s">
        <v>47</v>
      </c>
      <c r="B13">
        <v>46</v>
      </c>
      <c r="C13">
        <v>11610</v>
      </c>
      <c r="D13">
        <v>296</v>
      </c>
    </row>
    <row r="14" spans="1:4" x14ac:dyDescent="0.3">
      <c r="A14" s="16" t="s">
        <v>1533</v>
      </c>
      <c r="B14">
        <v>500</v>
      </c>
      <c r="C14">
        <v>132460</v>
      </c>
      <c r="D14">
        <v>3536</v>
      </c>
    </row>
  </sheetData>
  <pageMargins left="0.7" right="0.7" top="0.75" bottom="0.75" header="0.3" footer="0.3"/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3F8806-D8BE-473B-8238-9B512DB62A55}">
  <dimension ref="B1:O16"/>
  <sheetViews>
    <sheetView zoomScaleNormal="100" workbookViewId="0">
      <selection activeCell="O16" sqref="O16"/>
    </sheetView>
  </sheetViews>
  <sheetFormatPr defaultRowHeight="14.4" x14ac:dyDescent="0.3"/>
  <sheetData>
    <row r="1" spans="2:15" x14ac:dyDescent="0.3">
      <c r="N1" s="32" t="s">
        <v>1560</v>
      </c>
      <c r="O1" s="33"/>
    </row>
    <row r="2" spans="2:15" x14ac:dyDescent="0.3">
      <c r="N2" s="33"/>
      <c r="O2" s="33"/>
    </row>
    <row r="3" spans="2:15" x14ac:dyDescent="0.3">
      <c r="B3" s="27" t="s">
        <v>1554</v>
      </c>
      <c r="N3" s="34" t="s">
        <v>1561</v>
      </c>
      <c r="O3" s="33"/>
    </row>
    <row r="4" spans="2:15" x14ac:dyDescent="0.3">
      <c r="N4" s="33"/>
      <c r="O4" s="33"/>
    </row>
    <row r="5" spans="2:15" x14ac:dyDescent="0.3">
      <c r="N5" s="34" t="s">
        <v>1562</v>
      </c>
      <c r="O5" s="30"/>
    </row>
    <row r="6" spans="2:15" x14ac:dyDescent="0.3">
      <c r="N6" s="30"/>
      <c r="O6" s="30"/>
    </row>
    <row r="7" spans="2:15" x14ac:dyDescent="0.3">
      <c r="N7" s="30">
        <v>2</v>
      </c>
      <c r="O7" s="30"/>
    </row>
    <row r="8" spans="2:15" x14ac:dyDescent="0.3">
      <c r="N8" s="30"/>
      <c r="O8" s="30"/>
    </row>
    <row r="9" spans="2:15" x14ac:dyDescent="0.3">
      <c r="N9" s="30" t="s">
        <v>1563</v>
      </c>
      <c r="O9" s="33"/>
    </row>
    <row r="10" spans="2:15" x14ac:dyDescent="0.3">
      <c r="I10" s="26"/>
      <c r="N10" s="33"/>
      <c r="O10" s="33"/>
    </row>
    <row r="11" spans="2:15" ht="15.6" customHeight="1" x14ac:dyDescent="0.3">
      <c r="N11" s="30">
        <v>2</v>
      </c>
      <c r="O11" s="30"/>
    </row>
    <row r="12" spans="2:15" ht="15.6" customHeight="1" x14ac:dyDescent="0.3">
      <c r="N12" s="30"/>
      <c r="O12" s="30"/>
    </row>
    <row r="13" spans="2:15" x14ac:dyDescent="0.3">
      <c r="N13" s="31">
        <v>5</v>
      </c>
      <c r="O13" s="31"/>
    </row>
    <row r="14" spans="2:15" x14ac:dyDescent="0.3">
      <c r="N14" s="31"/>
      <c r="O14" s="31"/>
    </row>
    <row r="15" spans="2:15" ht="10.199999999999999" customHeight="1" x14ac:dyDescent="0.3">
      <c r="N15" s="31"/>
      <c r="O15" s="31"/>
    </row>
    <row r="16" spans="2:15" hidden="1" x14ac:dyDescent="0.3"/>
  </sheetData>
  <mergeCells count="7">
    <mergeCell ref="N11:O12"/>
    <mergeCell ref="N13:O15"/>
    <mergeCell ref="N1:O2"/>
    <mergeCell ref="N3:O4"/>
    <mergeCell ref="N5:O6"/>
    <mergeCell ref="N7:O8"/>
    <mergeCell ref="N9:O10"/>
  </mergeCells>
  <pageMargins left="0.7" right="0.7" top="0.75" bottom="0.75" header="0.3" footer="0.3"/>
  <pageSetup orientation="portrait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9F9533-2286-42D4-9B80-514FA895315F}">
  <dimension ref="A1"/>
  <sheetViews>
    <sheetView workbookViewId="0">
      <selection activeCell="W11" sqref="W11"/>
    </sheetView>
  </sheetViews>
  <sheetFormatPr defaultRowHeight="14.4" x14ac:dyDescent="0.3"/>
  <sheetData/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7"/>
  <sheetViews>
    <sheetView topLeftCell="J1" workbookViewId="0">
      <pane ySplit="1" topLeftCell="A2" activePane="bottomLeft" state="frozen"/>
      <selection pane="bottomLeft" activeCell="T7" sqref="T7"/>
    </sheetView>
  </sheetViews>
  <sheetFormatPr defaultRowHeight="14.4" x14ac:dyDescent="0.3"/>
  <cols>
    <col min="1" max="1" width="12" customWidth="1"/>
    <col min="2" max="2" width="7" customWidth="1"/>
    <col min="3" max="3" width="13" customWidth="1"/>
    <col min="4" max="4" width="14" customWidth="1"/>
    <col min="5" max="5" width="32" customWidth="1"/>
    <col min="6" max="7" width="24" customWidth="1"/>
    <col min="8" max="8" width="24" style="24" customWidth="1"/>
    <col min="9" max="12" width="22" customWidth="1"/>
    <col min="13" max="13" width="13" customWidth="1"/>
    <col min="14" max="15" width="24" customWidth="1"/>
    <col min="16" max="16" width="14" customWidth="1"/>
    <col min="17" max="17" width="24" customWidth="1"/>
    <col min="18" max="18" width="17.21875" customWidth="1"/>
  </cols>
  <sheetData>
    <row r="1" spans="1:18" ht="30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3" t="s">
        <v>1545</v>
      </c>
      <c r="I1" s="1" t="s">
        <v>7</v>
      </c>
      <c r="J1" s="1" t="s">
        <v>1544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20" t="s">
        <v>1542</v>
      </c>
    </row>
    <row r="2" spans="1:18" x14ac:dyDescent="0.3">
      <c r="A2" s="2" t="s">
        <v>15</v>
      </c>
      <c r="B2" s="2">
        <v>2025</v>
      </c>
      <c r="C2" s="2" t="s">
        <v>16</v>
      </c>
      <c r="D2" s="2" t="s">
        <v>17</v>
      </c>
      <c r="E2" s="2" t="s">
        <v>18</v>
      </c>
      <c r="F2" s="2" t="s">
        <v>19</v>
      </c>
      <c r="G2" s="2" t="s">
        <v>20</v>
      </c>
      <c r="H2" s="22">
        <v>152</v>
      </c>
      <c r="I2" s="2" t="s">
        <v>21</v>
      </c>
      <c r="J2" s="2">
        <v>204</v>
      </c>
      <c r="K2" s="2" t="s">
        <v>22</v>
      </c>
      <c r="L2" s="2" t="s">
        <v>19</v>
      </c>
      <c r="M2" s="2" t="s">
        <v>23</v>
      </c>
      <c r="N2" s="3" t="s">
        <v>19</v>
      </c>
      <c r="O2" s="2" t="s">
        <v>20</v>
      </c>
      <c r="P2" s="2" t="s">
        <v>24</v>
      </c>
      <c r="Q2" s="2" t="s">
        <v>25</v>
      </c>
      <c r="R2">
        <f>IF(L2=N2,1,0)</f>
        <v>1</v>
      </c>
    </row>
    <row r="3" spans="1:18" x14ac:dyDescent="0.3">
      <c r="A3" s="4" t="s">
        <v>26</v>
      </c>
      <c r="B3" s="4">
        <v>2025</v>
      </c>
      <c r="C3" s="4" t="s">
        <v>27</v>
      </c>
      <c r="D3" s="4" t="s">
        <v>17</v>
      </c>
      <c r="E3" s="4" t="s">
        <v>18</v>
      </c>
      <c r="F3" s="4" t="s">
        <v>19</v>
      </c>
      <c r="G3" s="4" t="s">
        <v>28</v>
      </c>
      <c r="H3" s="22">
        <v>152</v>
      </c>
      <c r="I3" s="4" t="s">
        <v>29</v>
      </c>
      <c r="J3" s="2">
        <v>162</v>
      </c>
      <c r="K3" s="4" t="s">
        <v>30</v>
      </c>
      <c r="L3" s="4" t="s">
        <v>19</v>
      </c>
      <c r="M3" s="4" t="s">
        <v>31</v>
      </c>
      <c r="N3" s="3" t="s">
        <v>19</v>
      </c>
      <c r="O3" s="4" t="s">
        <v>28</v>
      </c>
      <c r="P3" s="4" t="s">
        <v>32</v>
      </c>
      <c r="Q3" s="4" t="s">
        <v>33</v>
      </c>
      <c r="R3">
        <f t="shared" ref="R3:R66" si="0">IF(L3=N3,1,0)</f>
        <v>1</v>
      </c>
    </row>
    <row r="4" spans="1:18" x14ac:dyDescent="0.3">
      <c r="A4" s="2" t="s">
        <v>34</v>
      </c>
      <c r="B4" s="2">
        <v>2025</v>
      </c>
      <c r="C4" s="2" t="s">
        <v>35</v>
      </c>
      <c r="D4" s="2" t="s">
        <v>17</v>
      </c>
      <c r="E4" s="2" t="s">
        <v>36</v>
      </c>
      <c r="F4" s="2" t="s">
        <v>37</v>
      </c>
      <c r="G4" s="2" t="s">
        <v>38</v>
      </c>
      <c r="H4" s="22">
        <v>139</v>
      </c>
      <c r="I4" s="2" t="s">
        <v>39</v>
      </c>
      <c r="J4" s="2">
        <v>112</v>
      </c>
      <c r="K4" s="2" t="s">
        <v>40</v>
      </c>
      <c r="L4" s="2" t="s">
        <v>37</v>
      </c>
      <c r="M4" s="2" t="s">
        <v>23</v>
      </c>
      <c r="N4" s="3" t="s">
        <v>37</v>
      </c>
      <c r="O4" s="2" t="s">
        <v>38</v>
      </c>
      <c r="P4" s="2" t="s">
        <v>41</v>
      </c>
      <c r="Q4" s="2" t="s">
        <v>42</v>
      </c>
      <c r="R4">
        <f t="shared" si="0"/>
        <v>1</v>
      </c>
    </row>
    <row r="5" spans="1:18" x14ac:dyDescent="0.3">
      <c r="A5" s="4" t="s">
        <v>43</v>
      </c>
      <c r="B5" s="4">
        <v>2025</v>
      </c>
      <c r="C5" s="4" t="s">
        <v>44</v>
      </c>
      <c r="D5" s="4" t="s">
        <v>17</v>
      </c>
      <c r="E5" s="4" t="s">
        <v>45</v>
      </c>
      <c r="F5" s="4" t="s">
        <v>46</v>
      </c>
      <c r="G5" s="4" t="s">
        <v>47</v>
      </c>
      <c r="H5" s="22">
        <v>218</v>
      </c>
      <c r="I5" s="4" t="s">
        <v>48</v>
      </c>
      <c r="J5" s="2">
        <v>169</v>
      </c>
      <c r="K5" s="4" t="s">
        <v>49</v>
      </c>
      <c r="L5" s="4" t="s">
        <v>46</v>
      </c>
      <c r="M5" s="4" t="s">
        <v>23</v>
      </c>
      <c r="N5" s="3" t="s">
        <v>46</v>
      </c>
      <c r="O5" s="4" t="s">
        <v>47</v>
      </c>
      <c r="P5" s="4" t="s">
        <v>50</v>
      </c>
      <c r="Q5" s="4" t="s">
        <v>51</v>
      </c>
      <c r="R5">
        <f t="shared" si="0"/>
        <v>1</v>
      </c>
    </row>
    <row r="6" spans="1:18" x14ac:dyDescent="0.3">
      <c r="A6" s="2" t="s">
        <v>52</v>
      </c>
      <c r="B6" s="2">
        <v>2025</v>
      </c>
      <c r="C6" s="2" t="s">
        <v>53</v>
      </c>
      <c r="D6" s="2" t="s">
        <v>17</v>
      </c>
      <c r="E6" s="2" t="s">
        <v>54</v>
      </c>
      <c r="F6" s="2" t="s">
        <v>28</v>
      </c>
      <c r="G6" s="2" t="s">
        <v>55</v>
      </c>
      <c r="H6" s="22">
        <v>165</v>
      </c>
      <c r="I6" s="2" t="s">
        <v>56</v>
      </c>
      <c r="J6" s="2">
        <v>149</v>
      </c>
      <c r="K6" s="2" t="s">
        <v>57</v>
      </c>
      <c r="L6" s="2" t="s">
        <v>28</v>
      </c>
      <c r="M6" s="2" t="s">
        <v>23</v>
      </c>
      <c r="N6" s="3" t="s">
        <v>28</v>
      </c>
      <c r="O6" s="2" t="s">
        <v>55</v>
      </c>
      <c r="P6" s="2" t="s">
        <v>58</v>
      </c>
      <c r="Q6" s="2" t="s">
        <v>59</v>
      </c>
      <c r="R6">
        <f t="shared" si="0"/>
        <v>1</v>
      </c>
    </row>
    <row r="7" spans="1:18" x14ac:dyDescent="0.3">
      <c r="A7" s="4" t="s">
        <v>60</v>
      </c>
      <c r="B7" s="4">
        <v>2025</v>
      </c>
      <c r="C7" s="4" t="s">
        <v>61</v>
      </c>
      <c r="D7" s="4" t="s">
        <v>17</v>
      </c>
      <c r="E7" s="4" t="s">
        <v>18</v>
      </c>
      <c r="F7" s="4" t="s">
        <v>19</v>
      </c>
      <c r="G7" s="4" t="s">
        <v>46</v>
      </c>
      <c r="H7" s="22">
        <v>137</v>
      </c>
      <c r="I7" s="4" t="s">
        <v>62</v>
      </c>
      <c r="J7" s="2">
        <v>156</v>
      </c>
      <c r="K7" s="4" t="s">
        <v>63</v>
      </c>
      <c r="L7" s="4" t="s">
        <v>46</v>
      </c>
      <c r="M7" s="4" t="s">
        <v>31</v>
      </c>
      <c r="N7" s="3" t="s">
        <v>19</v>
      </c>
      <c r="O7" s="4" t="s">
        <v>46</v>
      </c>
      <c r="P7" s="4" t="s">
        <v>64</v>
      </c>
      <c r="Q7" s="4" t="s">
        <v>65</v>
      </c>
      <c r="R7">
        <f t="shared" si="0"/>
        <v>0</v>
      </c>
    </row>
    <row r="8" spans="1:18" x14ac:dyDescent="0.3">
      <c r="A8" s="2" t="s">
        <v>66</v>
      </c>
      <c r="B8" s="2">
        <v>2025</v>
      </c>
      <c r="C8" s="2" t="s">
        <v>67</v>
      </c>
      <c r="D8" s="2" t="s">
        <v>17</v>
      </c>
      <c r="E8" s="2" t="s">
        <v>68</v>
      </c>
      <c r="F8" s="2" t="s">
        <v>38</v>
      </c>
      <c r="G8" s="2" t="s">
        <v>46</v>
      </c>
      <c r="H8" s="22">
        <v>138</v>
      </c>
      <c r="I8" s="2" t="s">
        <v>69</v>
      </c>
      <c r="J8" s="2">
        <v>122</v>
      </c>
      <c r="K8" s="2" t="s">
        <v>70</v>
      </c>
      <c r="L8" s="2" t="s">
        <v>46</v>
      </c>
      <c r="M8" s="2" t="s">
        <v>31</v>
      </c>
      <c r="N8" s="3" t="s">
        <v>38</v>
      </c>
      <c r="O8" s="2" t="s">
        <v>46</v>
      </c>
      <c r="P8" s="2" t="s">
        <v>58</v>
      </c>
      <c r="Q8" s="2" t="s">
        <v>71</v>
      </c>
      <c r="R8">
        <f t="shared" si="0"/>
        <v>0</v>
      </c>
    </row>
    <row r="9" spans="1:18" x14ac:dyDescent="0.3">
      <c r="A9" s="4" t="s">
        <v>72</v>
      </c>
      <c r="B9" s="4">
        <v>2025</v>
      </c>
      <c r="C9" s="4" t="s">
        <v>73</v>
      </c>
      <c r="D9" s="4" t="s">
        <v>17</v>
      </c>
      <c r="E9" s="4" t="s">
        <v>54</v>
      </c>
      <c r="F9" s="4" t="s">
        <v>28</v>
      </c>
      <c r="G9" s="4" t="s">
        <v>19</v>
      </c>
      <c r="H9" s="22">
        <v>220</v>
      </c>
      <c r="I9" s="4" t="s">
        <v>74</v>
      </c>
      <c r="J9" s="2">
        <v>179</v>
      </c>
      <c r="K9" s="4" t="s">
        <v>75</v>
      </c>
      <c r="L9" s="4" t="s">
        <v>28</v>
      </c>
      <c r="M9" s="4" t="s">
        <v>23</v>
      </c>
      <c r="N9" s="3" t="s">
        <v>28</v>
      </c>
      <c r="O9" s="4" t="s">
        <v>19</v>
      </c>
      <c r="P9" s="4" t="s">
        <v>76</v>
      </c>
      <c r="Q9" s="4" t="s">
        <v>77</v>
      </c>
      <c r="R9">
        <f t="shared" si="0"/>
        <v>1</v>
      </c>
    </row>
    <row r="10" spans="1:18" x14ac:dyDescent="0.3">
      <c r="A10" s="2" t="s">
        <v>78</v>
      </c>
      <c r="B10" s="2">
        <v>2025</v>
      </c>
      <c r="C10" s="2" t="s">
        <v>79</v>
      </c>
      <c r="D10" s="2" t="s">
        <v>17</v>
      </c>
      <c r="E10" s="2" t="s">
        <v>80</v>
      </c>
      <c r="F10" s="2" t="s">
        <v>81</v>
      </c>
      <c r="G10" s="2" t="s">
        <v>47</v>
      </c>
      <c r="H10" s="22">
        <v>220</v>
      </c>
      <c r="I10" s="2" t="s">
        <v>82</v>
      </c>
      <c r="J10" s="2">
        <v>213</v>
      </c>
      <c r="K10" s="2" t="s">
        <v>83</v>
      </c>
      <c r="L10" s="2" t="s">
        <v>81</v>
      </c>
      <c r="M10" s="2" t="s">
        <v>23</v>
      </c>
      <c r="N10" s="3" t="s">
        <v>81</v>
      </c>
      <c r="O10" s="2" t="s">
        <v>47</v>
      </c>
      <c r="P10" s="2" t="s">
        <v>84</v>
      </c>
      <c r="Q10" s="2" t="s">
        <v>85</v>
      </c>
      <c r="R10">
        <f t="shared" si="0"/>
        <v>1</v>
      </c>
    </row>
    <row r="11" spans="1:18" x14ac:dyDescent="0.3">
      <c r="A11" s="4" t="s">
        <v>86</v>
      </c>
      <c r="B11" s="4">
        <v>2025</v>
      </c>
      <c r="C11" s="4" t="s">
        <v>87</v>
      </c>
      <c r="D11" s="4" t="s">
        <v>17</v>
      </c>
      <c r="E11" s="4" t="s">
        <v>68</v>
      </c>
      <c r="F11" s="4" t="s">
        <v>38</v>
      </c>
      <c r="G11" s="4" t="s">
        <v>28</v>
      </c>
      <c r="H11" s="22">
        <v>229.01</v>
      </c>
      <c r="I11" s="4" t="s">
        <v>88</v>
      </c>
      <c r="J11" s="2">
        <v>203</v>
      </c>
      <c r="K11" s="4" t="s">
        <v>89</v>
      </c>
      <c r="L11" s="4" t="s">
        <v>38</v>
      </c>
      <c r="M11" s="4" t="s">
        <v>31</v>
      </c>
      <c r="N11" s="3" t="s">
        <v>38</v>
      </c>
      <c r="O11" s="4" t="s">
        <v>28</v>
      </c>
      <c r="P11" s="4" t="s">
        <v>90</v>
      </c>
      <c r="Q11" s="4" t="s">
        <v>91</v>
      </c>
      <c r="R11">
        <f t="shared" si="0"/>
        <v>1</v>
      </c>
    </row>
    <row r="12" spans="1:18" x14ac:dyDescent="0.3">
      <c r="A12" s="2" t="s">
        <v>92</v>
      </c>
      <c r="B12" s="2">
        <v>2025</v>
      </c>
      <c r="C12" s="2" t="s">
        <v>93</v>
      </c>
      <c r="D12" s="2" t="s">
        <v>17</v>
      </c>
      <c r="E12" s="2" t="s">
        <v>36</v>
      </c>
      <c r="F12" s="2" t="s">
        <v>37</v>
      </c>
      <c r="G12" s="2" t="s">
        <v>47</v>
      </c>
      <c r="H12" s="22">
        <v>223.01</v>
      </c>
      <c r="I12" s="2" t="s">
        <v>94</v>
      </c>
      <c r="J12" s="2">
        <v>178</v>
      </c>
      <c r="K12" s="2" t="s">
        <v>95</v>
      </c>
      <c r="L12" s="2" t="s">
        <v>37</v>
      </c>
      <c r="M12" s="2" t="s">
        <v>31</v>
      </c>
      <c r="N12" s="3" t="s">
        <v>47</v>
      </c>
      <c r="O12" s="2" t="s">
        <v>37</v>
      </c>
      <c r="P12" s="2" t="s">
        <v>32</v>
      </c>
      <c r="Q12" s="2" t="s">
        <v>96</v>
      </c>
      <c r="R12">
        <f t="shared" si="0"/>
        <v>0</v>
      </c>
    </row>
    <row r="13" spans="1:18" x14ac:dyDescent="0.3">
      <c r="A13" s="4" t="s">
        <v>97</v>
      </c>
      <c r="B13" s="4">
        <v>2025</v>
      </c>
      <c r="C13" s="4" t="s">
        <v>98</v>
      </c>
      <c r="D13" s="4" t="s">
        <v>17</v>
      </c>
      <c r="E13" s="4" t="s">
        <v>54</v>
      </c>
      <c r="F13" s="4" t="s">
        <v>28</v>
      </c>
      <c r="G13" s="4" t="s">
        <v>38</v>
      </c>
      <c r="H13" s="22">
        <v>178.01</v>
      </c>
      <c r="I13" s="4" t="s">
        <v>99</v>
      </c>
      <c r="J13" s="2">
        <v>126</v>
      </c>
      <c r="K13" s="4" t="s">
        <v>100</v>
      </c>
      <c r="L13" s="4" t="s">
        <v>28</v>
      </c>
      <c r="M13" s="4" t="s">
        <v>23</v>
      </c>
      <c r="N13" s="3" t="s">
        <v>28</v>
      </c>
      <c r="O13" s="4" t="s">
        <v>38</v>
      </c>
      <c r="P13" s="4" t="s">
        <v>101</v>
      </c>
      <c r="Q13" s="4" t="s">
        <v>102</v>
      </c>
      <c r="R13">
        <f t="shared" si="0"/>
        <v>1</v>
      </c>
    </row>
    <row r="14" spans="1:18" x14ac:dyDescent="0.3">
      <c r="A14" s="2" t="s">
        <v>103</v>
      </c>
      <c r="B14" s="2">
        <v>2025</v>
      </c>
      <c r="C14" s="2" t="s">
        <v>104</v>
      </c>
      <c r="D14" s="2" t="s">
        <v>17</v>
      </c>
      <c r="E14" s="2" t="s">
        <v>36</v>
      </c>
      <c r="F14" s="2" t="s">
        <v>37</v>
      </c>
      <c r="G14" s="2" t="s">
        <v>46</v>
      </c>
      <c r="H14" s="22">
        <v>189.01</v>
      </c>
      <c r="I14" s="2" t="s">
        <v>105</v>
      </c>
      <c r="J14" s="2">
        <v>140</v>
      </c>
      <c r="K14" s="2" t="s">
        <v>106</v>
      </c>
      <c r="L14" s="2" t="s">
        <v>37</v>
      </c>
      <c r="M14" s="2" t="s">
        <v>23</v>
      </c>
      <c r="N14" s="3" t="s">
        <v>37</v>
      </c>
      <c r="O14" s="2" t="s">
        <v>46</v>
      </c>
      <c r="P14" s="2" t="s">
        <v>50</v>
      </c>
      <c r="Q14" s="2" t="s">
        <v>107</v>
      </c>
      <c r="R14">
        <f t="shared" si="0"/>
        <v>1</v>
      </c>
    </row>
    <row r="15" spans="1:18" x14ac:dyDescent="0.3">
      <c r="A15" s="4" t="s">
        <v>108</v>
      </c>
      <c r="B15" s="4">
        <v>2025</v>
      </c>
      <c r="C15" s="4" t="s">
        <v>109</v>
      </c>
      <c r="D15" s="4" t="s">
        <v>17</v>
      </c>
      <c r="E15" s="4" t="s">
        <v>110</v>
      </c>
      <c r="F15" s="4" t="s">
        <v>55</v>
      </c>
      <c r="G15" s="4" t="s">
        <v>20</v>
      </c>
      <c r="H15" s="22">
        <v>231.01</v>
      </c>
      <c r="I15" s="4" t="s">
        <v>111</v>
      </c>
      <c r="J15" s="2">
        <v>153</v>
      </c>
      <c r="K15" s="4" t="s">
        <v>112</v>
      </c>
      <c r="L15" s="4" t="s">
        <v>20</v>
      </c>
      <c r="M15" s="4" t="s">
        <v>31</v>
      </c>
      <c r="N15" s="3" t="s">
        <v>20</v>
      </c>
      <c r="O15" s="4" t="s">
        <v>55</v>
      </c>
      <c r="P15" s="4" t="s">
        <v>113</v>
      </c>
      <c r="Q15" s="4" t="s">
        <v>114</v>
      </c>
      <c r="R15">
        <f t="shared" si="0"/>
        <v>1</v>
      </c>
    </row>
    <row r="16" spans="1:18" x14ac:dyDescent="0.3">
      <c r="A16" s="2" t="s">
        <v>115</v>
      </c>
      <c r="B16" s="2">
        <v>2025</v>
      </c>
      <c r="C16" s="2" t="s">
        <v>116</v>
      </c>
      <c r="D16" s="2" t="s">
        <v>17</v>
      </c>
      <c r="E16" s="2" t="s">
        <v>117</v>
      </c>
      <c r="F16" s="2" t="s">
        <v>20</v>
      </c>
      <c r="G16" s="2" t="s">
        <v>46</v>
      </c>
      <c r="H16" s="22">
        <v>210.01</v>
      </c>
      <c r="I16" s="2" t="s">
        <v>118</v>
      </c>
      <c r="J16" s="2">
        <v>175</v>
      </c>
      <c r="K16" s="2" t="s">
        <v>119</v>
      </c>
      <c r="L16" s="2" t="s">
        <v>20</v>
      </c>
      <c r="M16" s="2" t="s">
        <v>31</v>
      </c>
      <c r="N16" s="3" t="s">
        <v>20</v>
      </c>
      <c r="O16" s="2" t="s">
        <v>46</v>
      </c>
      <c r="P16" s="2" t="s">
        <v>120</v>
      </c>
      <c r="Q16" s="2" t="s">
        <v>121</v>
      </c>
      <c r="R16">
        <f t="shared" si="0"/>
        <v>1</v>
      </c>
    </row>
    <row r="17" spans="1:18" x14ac:dyDescent="0.3">
      <c r="A17" s="4" t="s">
        <v>122</v>
      </c>
      <c r="B17" s="4">
        <v>2025</v>
      </c>
      <c r="C17" s="4" t="s">
        <v>123</v>
      </c>
      <c r="D17" s="4" t="s">
        <v>17</v>
      </c>
      <c r="E17" s="4" t="s">
        <v>124</v>
      </c>
      <c r="F17" s="4" t="s">
        <v>47</v>
      </c>
      <c r="G17" s="4" t="s">
        <v>81</v>
      </c>
      <c r="H17" s="22">
        <v>175.01</v>
      </c>
      <c r="I17" s="4" t="s">
        <v>125</v>
      </c>
      <c r="J17" s="2">
        <v>142</v>
      </c>
      <c r="K17" s="4" t="s">
        <v>126</v>
      </c>
      <c r="L17" s="4" t="s">
        <v>47</v>
      </c>
      <c r="M17" s="4" t="s">
        <v>23</v>
      </c>
      <c r="N17" s="3" t="s">
        <v>47</v>
      </c>
      <c r="O17" s="4" t="s">
        <v>81</v>
      </c>
      <c r="P17" s="4" t="s">
        <v>127</v>
      </c>
      <c r="Q17" s="4" t="s">
        <v>128</v>
      </c>
      <c r="R17">
        <f t="shared" si="0"/>
        <v>1</v>
      </c>
    </row>
    <row r="18" spans="1:18" x14ac:dyDescent="0.3">
      <c r="A18" s="2" t="s">
        <v>129</v>
      </c>
      <c r="B18" s="2">
        <v>2025</v>
      </c>
      <c r="C18" s="2" t="s">
        <v>130</v>
      </c>
      <c r="D18" s="2" t="s">
        <v>17</v>
      </c>
      <c r="E18" s="2" t="s">
        <v>54</v>
      </c>
      <c r="F18" s="2" t="s">
        <v>28</v>
      </c>
      <c r="G18" s="2" t="s">
        <v>47</v>
      </c>
      <c r="H18" s="22">
        <v>135.01</v>
      </c>
      <c r="I18" s="2" t="s">
        <v>131</v>
      </c>
      <c r="J18" s="2">
        <v>159</v>
      </c>
      <c r="K18" s="2" t="s">
        <v>132</v>
      </c>
      <c r="L18" s="2" t="s">
        <v>47</v>
      </c>
      <c r="M18" s="2" t="s">
        <v>23</v>
      </c>
      <c r="N18" s="3" t="s">
        <v>28</v>
      </c>
      <c r="O18" s="2" t="s">
        <v>47</v>
      </c>
      <c r="P18" s="2" t="s">
        <v>133</v>
      </c>
      <c r="Q18" s="2" t="s">
        <v>77</v>
      </c>
      <c r="R18">
        <f t="shared" si="0"/>
        <v>0</v>
      </c>
    </row>
    <row r="19" spans="1:18" x14ac:dyDescent="0.3">
      <c r="A19" s="4" t="s">
        <v>134</v>
      </c>
      <c r="B19" s="4">
        <v>2025</v>
      </c>
      <c r="C19" s="4" t="s">
        <v>135</v>
      </c>
      <c r="D19" s="4" t="s">
        <v>17</v>
      </c>
      <c r="E19" s="4" t="s">
        <v>45</v>
      </c>
      <c r="F19" s="4" t="s">
        <v>46</v>
      </c>
      <c r="G19" s="4" t="s">
        <v>28</v>
      </c>
      <c r="H19" s="22">
        <v>134.01</v>
      </c>
      <c r="I19" s="4" t="s">
        <v>136</v>
      </c>
      <c r="J19" s="2">
        <v>125</v>
      </c>
      <c r="K19" s="4" t="s">
        <v>137</v>
      </c>
      <c r="L19" s="4" t="s">
        <v>46</v>
      </c>
      <c r="M19" s="4" t="s">
        <v>23</v>
      </c>
      <c r="N19" s="3" t="s">
        <v>28</v>
      </c>
      <c r="O19" s="4" t="s">
        <v>46</v>
      </c>
      <c r="P19" s="4" t="s">
        <v>24</v>
      </c>
      <c r="Q19" s="4" t="s">
        <v>138</v>
      </c>
      <c r="R19">
        <f t="shared" si="0"/>
        <v>0</v>
      </c>
    </row>
    <row r="20" spans="1:18" x14ac:dyDescent="0.3">
      <c r="A20" s="2" t="s">
        <v>139</v>
      </c>
      <c r="B20" s="2">
        <v>2025</v>
      </c>
      <c r="C20" s="2" t="s">
        <v>140</v>
      </c>
      <c r="D20" s="2" t="s">
        <v>17</v>
      </c>
      <c r="E20" s="2" t="s">
        <v>141</v>
      </c>
      <c r="F20" s="2" t="s">
        <v>142</v>
      </c>
      <c r="G20" s="2" t="s">
        <v>81</v>
      </c>
      <c r="H20" s="22">
        <v>192.01</v>
      </c>
      <c r="I20" s="2" t="s">
        <v>143</v>
      </c>
      <c r="J20" s="2">
        <v>206</v>
      </c>
      <c r="K20" s="2" t="s">
        <v>144</v>
      </c>
      <c r="L20" s="2" t="s">
        <v>142</v>
      </c>
      <c r="M20" s="2" t="s">
        <v>31</v>
      </c>
      <c r="N20" s="3" t="s">
        <v>81</v>
      </c>
      <c r="O20" s="2" t="s">
        <v>142</v>
      </c>
      <c r="P20" s="2" t="s">
        <v>145</v>
      </c>
      <c r="Q20" s="2" t="s">
        <v>146</v>
      </c>
      <c r="R20">
        <f t="shared" si="0"/>
        <v>0</v>
      </c>
    </row>
    <row r="21" spans="1:18" x14ac:dyDescent="0.3">
      <c r="A21" s="4" t="s">
        <v>147</v>
      </c>
      <c r="B21" s="4">
        <v>2025</v>
      </c>
      <c r="C21" s="4" t="s">
        <v>148</v>
      </c>
      <c r="D21" s="4" t="s">
        <v>17</v>
      </c>
      <c r="E21" s="4" t="s">
        <v>110</v>
      </c>
      <c r="F21" s="4" t="s">
        <v>55</v>
      </c>
      <c r="G21" s="4" t="s">
        <v>19</v>
      </c>
      <c r="H21" s="22">
        <v>136.02000000000001</v>
      </c>
      <c r="I21" s="4" t="s">
        <v>149</v>
      </c>
      <c r="J21" s="2">
        <v>207</v>
      </c>
      <c r="K21" s="4" t="s">
        <v>150</v>
      </c>
      <c r="L21" s="4" t="s">
        <v>19</v>
      </c>
      <c r="M21" s="4" t="s">
        <v>31</v>
      </c>
      <c r="N21" s="3" t="s">
        <v>55</v>
      </c>
      <c r="O21" s="4" t="s">
        <v>19</v>
      </c>
      <c r="P21" s="4" t="s">
        <v>151</v>
      </c>
      <c r="Q21" s="4" t="s">
        <v>152</v>
      </c>
      <c r="R21">
        <f t="shared" si="0"/>
        <v>0</v>
      </c>
    </row>
    <row r="22" spans="1:18" x14ac:dyDescent="0.3">
      <c r="A22" s="2" t="s">
        <v>153</v>
      </c>
      <c r="B22" s="2">
        <v>2025</v>
      </c>
      <c r="C22" s="2" t="s">
        <v>154</v>
      </c>
      <c r="D22" s="2" t="s">
        <v>17</v>
      </c>
      <c r="E22" s="2" t="s">
        <v>124</v>
      </c>
      <c r="F22" s="2" t="s">
        <v>47</v>
      </c>
      <c r="G22" s="2" t="s">
        <v>37</v>
      </c>
      <c r="H22" s="22">
        <v>202.02</v>
      </c>
      <c r="I22" s="2" t="s">
        <v>155</v>
      </c>
      <c r="J22" s="2">
        <v>145</v>
      </c>
      <c r="K22" s="2" t="s">
        <v>156</v>
      </c>
      <c r="L22" s="2" t="s">
        <v>47</v>
      </c>
      <c r="M22" s="2" t="s">
        <v>31</v>
      </c>
      <c r="N22" s="3" t="s">
        <v>47</v>
      </c>
      <c r="O22" s="2" t="s">
        <v>37</v>
      </c>
      <c r="P22" s="2" t="s">
        <v>157</v>
      </c>
      <c r="Q22" s="2" t="s">
        <v>158</v>
      </c>
      <c r="R22">
        <f t="shared" si="0"/>
        <v>1</v>
      </c>
    </row>
    <row r="23" spans="1:18" x14ac:dyDescent="0.3">
      <c r="A23" s="4" t="s">
        <v>159</v>
      </c>
      <c r="B23" s="4">
        <v>2025</v>
      </c>
      <c r="C23" s="4" t="s">
        <v>160</v>
      </c>
      <c r="D23" s="4" t="s">
        <v>17</v>
      </c>
      <c r="E23" s="4" t="s">
        <v>54</v>
      </c>
      <c r="F23" s="4" t="s">
        <v>28</v>
      </c>
      <c r="G23" s="4" t="s">
        <v>20</v>
      </c>
      <c r="H23" s="22">
        <v>203.02</v>
      </c>
      <c r="I23" s="4" t="s">
        <v>161</v>
      </c>
      <c r="J23" s="2">
        <v>186</v>
      </c>
      <c r="K23" s="4" t="s">
        <v>162</v>
      </c>
      <c r="L23" s="4" t="s">
        <v>28</v>
      </c>
      <c r="M23" s="4" t="s">
        <v>23</v>
      </c>
      <c r="N23" s="3" t="s">
        <v>20</v>
      </c>
      <c r="O23" s="4" t="s">
        <v>28</v>
      </c>
      <c r="P23" s="4" t="s">
        <v>163</v>
      </c>
      <c r="Q23" s="4" t="s">
        <v>164</v>
      </c>
      <c r="R23">
        <f t="shared" si="0"/>
        <v>0</v>
      </c>
    </row>
    <row r="24" spans="1:18" x14ac:dyDescent="0.3">
      <c r="A24" s="2" t="s">
        <v>165</v>
      </c>
      <c r="B24" s="2">
        <v>2025</v>
      </c>
      <c r="C24" s="2" t="s">
        <v>166</v>
      </c>
      <c r="D24" s="2" t="s">
        <v>17</v>
      </c>
      <c r="E24" s="2" t="s">
        <v>110</v>
      </c>
      <c r="F24" s="2" t="s">
        <v>55</v>
      </c>
      <c r="G24" s="2" t="s">
        <v>46</v>
      </c>
      <c r="H24" s="22">
        <v>204.02</v>
      </c>
      <c r="I24" s="2" t="s">
        <v>167</v>
      </c>
      <c r="J24" s="2">
        <v>199</v>
      </c>
      <c r="K24" s="2" t="s">
        <v>168</v>
      </c>
      <c r="L24" s="2" t="s">
        <v>55</v>
      </c>
      <c r="M24" s="2" t="s">
        <v>31</v>
      </c>
      <c r="N24" s="3" t="s">
        <v>55</v>
      </c>
      <c r="O24" s="2" t="s">
        <v>46</v>
      </c>
      <c r="P24" s="2" t="s">
        <v>169</v>
      </c>
      <c r="Q24" s="2" t="s">
        <v>170</v>
      </c>
      <c r="R24">
        <f t="shared" si="0"/>
        <v>1</v>
      </c>
    </row>
    <row r="25" spans="1:18" x14ac:dyDescent="0.3">
      <c r="A25" s="4" t="s">
        <v>171</v>
      </c>
      <c r="B25" s="4">
        <v>2025</v>
      </c>
      <c r="C25" s="4" t="s">
        <v>172</v>
      </c>
      <c r="D25" s="4" t="s">
        <v>17</v>
      </c>
      <c r="E25" s="4" t="s">
        <v>54</v>
      </c>
      <c r="F25" s="4" t="s">
        <v>28</v>
      </c>
      <c r="G25" s="4" t="s">
        <v>81</v>
      </c>
      <c r="H25" s="22">
        <v>218.02</v>
      </c>
      <c r="I25" s="4" t="s">
        <v>173</v>
      </c>
      <c r="J25" s="2">
        <v>163</v>
      </c>
      <c r="K25" s="4" t="s">
        <v>174</v>
      </c>
      <c r="L25" s="4" t="s">
        <v>28</v>
      </c>
      <c r="M25" s="4" t="s">
        <v>31</v>
      </c>
      <c r="N25" s="3" t="s">
        <v>81</v>
      </c>
      <c r="O25" s="4" t="s">
        <v>28</v>
      </c>
      <c r="P25" s="4" t="s">
        <v>32</v>
      </c>
      <c r="Q25" s="4" t="s">
        <v>175</v>
      </c>
      <c r="R25">
        <f t="shared" si="0"/>
        <v>0</v>
      </c>
    </row>
    <row r="26" spans="1:18" x14ac:dyDescent="0.3">
      <c r="A26" s="2" t="s">
        <v>176</v>
      </c>
      <c r="B26" s="2">
        <v>2025</v>
      </c>
      <c r="C26" s="2" t="s">
        <v>177</v>
      </c>
      <c r="D26" s="2" t="s">
        <v>17</v>
      </c>
      <c r="E26" s="2" t="s">
        <v>80</v>
      </c>
      <c r="F26" s="2" t="s">
        <v>81</v>
      </c>
      <c r="G26" s="2" t="s">
        <v>55</v>
      </c>
      <c r="H26" s="22">
        <v>217.02</v>
      </c>
      <c r="I26" s="2" t="s">
        <v>178</v>
      </c>
      <c r="J26" s="2">
        <v>197</v>
      </c>
      <c r="K26" s="2" t="s">
        <v>179</v>
      </c>
      <c r="L26" s="2" t="s">
        <v>55</v>
      </c>
      <c r="M26" s="2" t="s">
        <v>23</v>
      </c>
      <c r="N26" s="3" t="s">
        <v>55</v>
      </c>
      <c r="O26" s="2" t="s">
        <v>81</v>
      </c>
      <c r="P26" s="2" t="s">
        <v>113</v>
      </c>
      <c r="Q26" s="2" t="s">
        <v>180</v>
      </c>
      <c r="R26">
        <f t="shared" si="0"/>
        <v>1</v>
      </c>
    </row>
    <row r="27" spans="1:18" x14ac:dyDescent="0.3">
      <c r="A27" s="4" t="s">
        <v>181</v>
      </c>
      <c r="B27" s="4">
        <v>2025</v>
      </c>
      <c r="C27" s="4" t="s">
        <v>182</v>
      </c>
      <c r="D27" s="4" t="s">
        <v>17</v>
      </c>
      <c r="E27" s="4" t="s">
        <v>124</v>
      </c>
      <c r="F27" s="4" t="s">
        <v>47</v>
      </c>
      <c r="G27" s="4" t="s">
        <v>55</v>
      </c>
      <c r="H27" s="22">
        <v>133.02000000000001</v>
      </c>
      <c r="I27" s="4" t="s">
        <v>183</v>
      </c>
      <c r="J27" s="2">
        <v>211</v>
      </c>
      <c r="K27" s="4" t="s">
        <v>184</v>
      </c>
      <c r="L27" s="4" t="s">
        <v>47</v>
      </c>
      <c r="M27" s="4" t="s">
        <v>23</v>
      </c>
      <c r="N27" s="3" t="s">
        <v>55</v>
      </c>
      <c r="O27" s="4" t="s">
        <v>47</v>
      </c>
      <c r="P27" s="4" t="s">
        <v>185</v>
      </c>
      <c r="Q27" s="4" t="s">
        <v>186</v>
      </c>
      <c r="R27">
        <f t="shared" si="0"/>
        <v>0</v>
      </c>
    </row>
    <row r="28" spans="1:18" x14ac:dyDescent="0.3">
      <c r="A28" s="2" t="s">
        <v>187</v>
      </c>
      <c r="B28" s="2">
        <v>2025</v>
      </c>
      <c r="C28" s="2" t="s">
        <v>188</v>
      </c>
      <c r="D28" s="2" t="s">
        <v>17</v>
      </c>
      <c r="E28" s="2" t="s">
        <v>141</v>
      </c>
      <c r="F28" s="2" t="s">
        <v>142</v>
      </c>
      <c r="G28" s="2" t="s">
        <v>38</v>
      </c>
      <c r="H28" s="22">
        <v>159.02000000000001</v>
      </c>
      <c r="I28" s="2" t="s">
        <v>189</v>
      </c>
      <c r="J28" s="2">
        <v>113</v>
      </c>
      <c r="K28" s="2" t="s">
        <v>190</v>
      </c>
      <c r="L28" s="2" t="s">
        <v>38</v>
      </c>
      <c r="M28" s="2" t="s">
        <v>31</v>
      </c>
      <c r="N28" s="3" t="s">
        <v>38</v>
      </c>
      <c r="O28" s="2" t="s">
        <v>142</v>
      </c>
      <c r="P28" s="2" t="s">
        <v>113</v>
      </c>
      <c r="Q28" s="2" t="s">
        <v>191</v>
      </c>
      <c r="R28">
        <f t="shared" si="0"/>
        <v>1</v>
      </c>
    </row>
    <row r="29" spans="1:18" x14ac:dyDescent="0.3">
      <c r="A29" s="4" t="s">
        <v>192</v>
      </c>
      <c r="B29" s="4">
        <v>2025</v>
      </c>
      <c r="C29" s="4" t="s">
        <v>193</v>
      </c>
      <c r="D29" s="4" t="s">
        <v>17</v>
      </c>
      <c r="E29" s="4" t="s">
        <v>36</v>
      </c>
      <c r="F29" s="4" t="s">
        <v>37</v>
      </c>
      <c r="G29" s="4" t="s">
        <v>20</v>
      </c>
      <c r="H29" s="22">
        <v>192.02</v>
      </c>
      <c r="I29" s="4" t="s">
        <v>194</v>
      </c>
      <c r="J29" s="2">
        <v>166</v>
      </c>
      <c r="K29" s="4" t="s">
        <v>195</v>
      </c>
      <c r="L29" s="4" t="s">
        <v>37</v>
      </c>
      <c r="M29" s="4" t="s">
        <v>31</v>
      </c>
      <c r="N29" s="3" t="s">
        <v>20</v>
      </c>
      <c r="O29" s="4" t="s">
        <v>37</v>
      </c>
      <c r="P29" s="4" t="s">
        <v>133</v>
      </c>
      <c r="Q29" s="4" t="s">
        <v>121</v>
      </c>
      <c r="R29">
        <f t="shared" si="0"/>
        <v>0</v>
      </c>
    </row>
    <row r="30" spans="1:18" x14ac:dyDescent="0.3">
      <c r="A30" s="2" t="s">
        <v>196</v>
      </c>
      <c r="B30" s="2">
        <v>2025</v>
      </c>
      <c r="C30" s="2" t="s">
        <v>197</v>
      </c>
      <c r="D30" s="2" t="s">
        <v>17</v>
      </c>
      <c r="E30" s="2" t="s">
        <v>68</v>
      </c>
      <c r="F30" s="2" t="s">
        <v>38</v>
      </c>
      <c r="G30" s="2" t="s">
        <v>81</v>
      </c>
      <c r="H30" s="22">
        <v>151.02000000000001</v>
      </c>
      <c r="I30" s="2" t="s">
        <v>198</v>
      </c>
      <c r="J30" s="2">
        <v>188</v>
      </c>
      <c r="K30" s="2" t="s">
        <v>199</v>
      </c>
      <c r="L30" s="2" t="s">
        <v>38</v>
      </c>
      <c r="M30" s="2" t="s">
        <v>31</v>
      </c>
      <c r="N30" s="3" t="s">
        <v>81</v>
      </c>
      <c r="O30" s="2" t="s">
        <v>38</v>
      </c>
      <c r="P30" s="2" t="s">
        <v>200</v>
      </c>
      <c r="Q30" s="2" t="s">
        <v>201</v>
      </c>
      <c r="R30">
        <f t="shared" si="0"/>
        <v>0</v>
      </c>
    </row>
    <row r="31" spans="1:18" x14ac:dyDescent="0.3">
      <c r="A31" s="4" t="s">
        <v>202</v>
      </c>
      <c r="B31" s="4">
        <v>2025</v>
      </c>
      <c r="C31" s="4" t="s">
        <v>203</v>
      </c>
      <c r="D31" s="4" t="s">
        <v>17</v>
      </c>
      <c r="E31" s="4" t="s">
        <v>45</v>
      </c>
      <c r="F31" s="4" t="s">
        <v>46</v>
      </c>
      <c r="G31" s="4" t="s">
        <v>19</v>
      </c>
      <c r="H31" s="22">
        <v>143.03</v>
      </c>
      <c r="I31" s="4" t="s">
        <v>204</v>
      </c>
      <c r="J31" s="2">
        <v>189</v>
      </c>
      <c r="K31" s="4" t="s">
        <v>205</v>
      </c>
      <c r="L31" s="4" t="s">
        <v>46</v>
      </c>
      <c r="M31" s="4" t="s">
        <v>23</v>
      </c>
      <c r="N31" s="3" t="s">
        <v>46</v>
      </c>
      <c r="O31" s="4" t="s">
        <v>19</v>
      </c>
      <c r="P31" s="4" t="s">
        <v>32</v>
      </c>
      <c r="Q31" s="4" t="s">
        <v>206</v>
      </c>
      <c r="R31">
        <f t="shared" si="0"/>
        <v>1</v>
      </c>
    </row>
    <row r="32" spans="1:18" x14ac:dyDescent="0.3">
      <c r="A32" s="2" t="s">
        <v>207</v>
      </c>
      <c r="B32" s="2">
        <v>2025</v>
      </c>
      <c r="C32" s="2" t="s">
        <v>208</v>
      </c>
      <c r="D32" s="2" t="s">
        <v>17</v>
      </c>
      <c r="E32" s="2" t="s">
        <v>124</v>
      </c>
      <c r="F32" s="2" t="s">
        <v>47</v>
      </c>
      <c r="G32" s="2" t="s">
        <v>28</v>
      </c>
      <c r="H32" s="22">
        <v>229.03</v>
      </c>
      <c r="I32" s="2" t="s">
        <v>209</v>
      </c>
      <c r="J32" s="2">
        <v>153</v>
      </c>
      <c r="K32" s="2" t="s">
        <v>210</v>
      </c>
      <c r="L32" s="2" t="s">
        <v>28</v>
      </c>
      <c r="M32" s="2" t="s">
        <v>31</v>
      </c>
      <c r="N32" s="3" t="s">
        <v>47</v>
      </c>
      <c r="O32" s="2" t="s">
        <v>28</v>
      </c>
      <c r="P32" s="2" t="s">
        <v>211</v>
      </c>
      <c r="Q32" s="2" t="s">
        <v>212</v>
      </c>
      <c r="R32">
        <f t="shared" si="0"/>
        <v>0</v>
      </c>
    </row>
    <row r="33" spans="1:18" x14ac:dyDescent="0.3">
      <c r="A33" s="4" t="s">
        <v>213</v>
      </c>
      <c r="B33" s="4">
        <v>2025</v>
      </c>
      <c r="C33" s="4" t="s">
        <v>214</v>
      </c>
      <c r="D33" s="4" t="s">
        <v>17</v>
      </c>
      <c r="E33" s="4" t="s">
        <v>117</v>
      </c>
      <c r="F33" s="4" t="s">
        <v>20</v>
      </c>
      <c r="G33" s="4" t="s">
        <v>19</v>
      </c>
      <c r="H33" s="22">
        <v>158.03</v>
      </c>
      <c r="I33" s="4" t="s">
        <v>215</v>
      </c>
      <c r="J33" s="2">
        <v>183</v>
      </c>
      <c r="K33" s="4" t="s">
        <v>216</v>
      </c>
      <c r="L33" s="4" t="s">
        <v>19</v>
      </c>
      <c r="M33" s="4" t="s">
        <v>31</v>
      </c>
      <c r="N33" s="3" t="s">
        <v>20</v>
      </c>
      <c r="O33" s="4" t="s">
        <v>19</v>
      </c>
      <c r="P33" s="4" t="s">
        <v>217</v>
      </c>
      <c r="Q33" s="4" t="s">
        <v>218</v>
      </c>
      <c r="R33">
        <f t="shared" si="0"/>
        <v>0</v>
      </c>
    </row>
    <row r="34" spans="1:18" x14ac:dyDescent="0.3">
      <c r="A34" s="2" t="s">
        <v>219</v>
      </c>
      <c r="B34" s="2">
        <v>2025</v>
      </c>
      <c r="C34" s="2" t="s">
        <v>220</v>
      </c>
      <c r="D34" s="2" t="s">
        <v>17</v>
      </c>
      <c r="E34" s="2" t="s">
        <v>124</v>
      </c>
      <c r="F34" s="2" t="s">
        <v>47</v>
      </c>
      <c r="G34" s="2" t="s">
        <v>20</v>
      </c>
      <c r="H34" s="22">
        <v>202.03</v>
      </c>
      <c r="I34" s="2" t="s">
        <v>221</v>
      </c>
      <c r="J34" s="2">
        <v>217</v>
      </c>
      <c r="K34" s="2" t="s">
        <v>222</v>
      </c>
      <c r="L34" s="2" t="s">
        <v>20</v>
      </c>
      <c r="M34" s="2" t="s">
        <v>31</v>
      </c>
      <c r="N34" s="3" t="s">
        <v>47</v>
      </c>
      <c r="O34" s="2" t="s">
        <v>20</v>
      </c>
      <c r="P34" s="2" t="s">
        <v>133</v>
      </c>
      <c r="Q34" s="2" t="s">
        <v>223</v>
      </c>
      <c r="R34">
        <f t="shared" si="0"/>
        <v>0</v>
      </c>
    </row>
    <row r="35" spans="1:18" x14ac:dyDescent="0.3">
      <c r="A35" s="4" t="s">
        <v>224</v>
      </c>
      <c r="B35" s="4">
        <v>2025</v>
      </c>
      <c r="C35" s="4" t="s">
        <v>225</v>
      </c>
      <c r="D35" s="4" t="s">
        <v>17</v>
      </c>
      <c r="E35" s="4" t="s">
        <v>54</v>
      </c>
      <c r="F35" s="4" t="s">
        <v>28</v>
      </c>
      <c r="G35" s="4" t="s">
        <v>46</v>
      </c>
      <c r="H35" s="22">
        <v>180.03</v>
      </c>
      <c r="I35" s="4" t="s">
        <v>226</v>
      </c>
      <c r="J35" s="2">
        <v>200</v>
      </c>
      <c r="K35" s="4" t="s">
        <v>227</v>
      </c>
      <c r="L35" s="4" t="s">
        <v>28</v>
      </c>
      <c r="M35" s="4" t="s">
        <v>23</v>
      </c>
      <c r="N35" s="3" t="s">
        <v>28</v>
      </c>
      <c r="O35" s="4" t="s">
        <v>46</v>
      </c>
      <c r="P35" s="4" t="s">
        <v>151</v>
      </c>
      <c r="Q35" s="4" t="s">
        <v>228</v>
      </c>
      <c r="R35">
        <f t="shared" si="0"/>
        <v>1</v>
      </c>
    </row>
    <row r="36" spans="1:18" x14ac:dyDescent="0.3">
      <c r="A36" s="2" t="s">
        <v>229</v>
      </c>
      <c r="B36" s="2">
        <v>2025</v>
      </c>
      <c r="C36" s="2" t="s">
        <v>230</v>
      </c>
      <c r="D36" s="2" t="s">
        <v>17</v>
      </c>
      <c r="E36" s="2" t="s">
        <v>117</v>
      </c>
      <c r="F36" s="2" t="s">
        <v>20</v>
      </c>
      <c r="G36" s="2" t="s">
        <v>142</v>
      </c>
      <c r="H36" s="22">
        <v>229.03</v>
      </c>
      <c r="I36" s="2" t="s">
        <v>231</v>
      </c>
      <c r="J36" s="2">
        <v>134</v>
      </c>
      <c r="K36" s="2" t="s">
        <v>232</v>
      </c>
      <c r="L36" s="2" t="s">
        <v>142</v>
      </c>
      <c r="M36" s="2" t="s">
        <v>23</v>
      </c>
      <c r="N36" s="3" t="s">
        <v>20</v>
      </c>
      <c r="O36" s="2" t="s">
        <v>142</v>
      </c>
      <c r="P36" s="2" t="s">
        <v>233</v>
      </c>
      <c r="Q36" s="2" t="s">
        <v>234</v>
      </c>
      <c r="R36">
        <f t="shared" si="0"/>
        <v>0</v>
      </c>
    </row>
    <row r="37" spans="1:18" x14ac:dyDescent="0.3">
      <c r="A37" s="4" t="s">
        <v>235</v>
      </c>
      <c r="B37" s="4">
        <v>2025</v>
      </c>
      <c r="C37" s="4" t="s">
        <v>236</v>
      </c>
      <c r="D37" s="4" t="s">
        <v>17</v>
      </c>
      <c r="E37" s="4" t="s">
        <v>36</v>
      </c>
      <c r="F37" s="4" t="s">
        <v>37</v>
      </c>
      <c r="G37" s="4" t="s">
        <v>81</v>
      </c>
      <c r="H37" s="22">
        <v>138.03</v>
      </c>
      <c r="I37" s="4" t="s">
        <v>237</v>
      </c>
      <c r="J37" s="2">
        <v>215</v>
      </c>
      <c r="K37" s="4" t="s">
        <v>238</v>
      </c>
      <c r="L37" s="4" t="s">
        <v>37</v>
      </c>
      <c r="M37" s="4" t="s">
        <v>31</v>
      </c>
      <c r="N37" s="3" t="s">
        <v>81</v>
      </c>
      <c r="O37" s="4" t="s">
        <v>37</v>
      </c>
      <c r="P37" s="4" t="s">
        <v>239</v>
      </c>
      <c r="Q37" s="4" t="s">
        <v>240</v>
      </c>
      <c r="R37">
        <f t="shared" si="0"/>
        <v>0</v>
      </c>
    </row>
    <row r="38" spans="1:18" x14ac:dyDescent="0.3">
      <c r="A38" s="2" t="s">
        <v>241</v>
      </c>
      <c r="B38" s="2">
        <v>2025</v>
      </c>
      <c r="C38" s="2" t="s">
        <v>242</v>
      </c>
      <c r="D38" s="2" t="s">
        <v>17</v>
      </c>
      <c r="E38" s="2" t="s">
        <v>18</v>
      </c>
      <c r="F38" s="2" t="s">
        <v>19</v>
      </c>
      <c r="G38" s="2" t="s">
        <v>142</v>
      </c>
      <c r="H38" s="22">
        <v>201.03</v>
      </c>
      <c r="I38" s="2" t="s">
        <v>243</v>
      </c>
      <c r="J38" s="2">
        <v>167</v>
      </c>
      <c r="K38" s="2" t="s">
        <v>244</v>
      </c>
      <c r="L38" s="2" t="s">
        <v>142</v>
      </c>
      <c r="M38" s="2" t="s">
        <v>31</v>
      </c>
      <c r="N38" s="3" t="s">
        <v>142</v>
      </c>
      <c r="O38" s="2" t="s">
        <v>19</v>
      </c>
      <c r="P38" s="2" t="s">
        <v>245</v>
      </c>
      <c r="Q38" s="2" t="s">
        <v>246</v>
      </c>
      <c r="R38">
        <f t="shared" si="0"/>
        <v>1</v>
      </c>
    </row>
    <row r="39" spans="1:18" x14ac:dyDescent="0.3">
      <c r="A39" s="4" t="s">
        <v>247</v>
      </c>
      <c r="B39" s="4">
        <v>2025</v>
      </c>
      <c r="C39" s="4" t="s">
        <v>248</v>
      </c>
      <c r="D39" s="4" t="s">
        <v>17</v>
      </c>
      <c r="E39" s="4" t="s">
        <v>117</v>
      </c>
      <c r="F39" s="4" t="s">
        <v>20</v>
      </c>
      <c r="G39" s="4" t="s">
        <v>37</v>
      </c>
      <c r="H39" s="22">
        <v>172.03</v>
      </c>
      <c r="I39" s="4" t="s">
        <v>249</v>
      </c>
      <c r="J39" s="2">
        <v>121</v>
      </c>
      <c r="K39" s="4" t="s">
        <v>250</v>
      </c>
      <c r="L39" s="4" t="s">
        <v>20</v>
      </c>
      <c r="M39" s="4" t="s">
        <v>23</v>
      </c>
      <c r="N39" s="3" t="s">
        <v>20</v>
      </c>
      <c r="O39" s="4" t="s">
        <v>37</v>
      </c>
      <c r="P39" s="4" t="s">
        <v>251</v>
      </c>
      <c r="Q39" s="4" t="s">
        <v>252</v>
      </c>
      <c r="R39">
        <f t="shared" si="0"/>
        <v>1</v>
      </c>
    </row>
    <row r="40" spans="1:18" x14ac:dyDescent="0.3">
      <c r="A40" s="2" t="s">
        <v>253</v>
      </c>
      <c r="B40" s="2">
        <v>2025</v>
      </c>
      <c r="C40" s="2" t="s">
        <v>254</v>
      </c>
      <c r="D40" s="2" t="s">
        <v>17</v>
      </c>
      <c r="E40" s="2" t="s">
        <v>141</v>
      </c>
      <c r="F40" s="2" t="s">
        <v>142</v>
      </c>
      <c r="G40" s="2" t="s">
        <v>28</v>
      </c>
      <c r="H40" s="22">
        <v>197.03</v>
      </c>
      <c r="I40" s="2" t="s">
        <v>255</v>
      </c>
      <c r="J40" s="2">
        <v>172</v>
      </c>
      <c r="K40" s="2" t="s">
        <v>256</v>
      </c>
      <c r="L40" s="2" t="s">
        <v>142</v>
      </c>
      <c r="M40" s="2" t="s">
        <v>23</v>
      </c>
      <c r="N40" s="3" t="s">
        <v>142</v>
      </c>
      <c r="O40" s="2" t="s">
        <v>28</v>
      </c>
      <c r="P40" s="2" t="s">
        <v>257</v>
      </c>
      <c r="Q40" s="2" t="s">
        <v>258</v>
      </c>
      <c r="R40">
        <f t="shared" si="0"/>
        <v>1</v>
      </c>
    </row>
    <row r="41" spans="1:18" x14ac:dyDescent="0.3">
      <c r="A41" s="4" t="s">
        <v>259</v>
      </c>
      <c r="B41" s="4">
        <v>2025</v>
      </c>
      <c r="C41" s="4" t="s">
        <v>260</v>
      </c>
      <c r="D41" s="4" t="s">
        <v>17</v>
      </c>
      <c r="E41" s="4" t="s">
        <v>36</v>
      </c>
      <c r="F41" s="4" t="s">
        <v>37</v>
      </c>
      <c r="G41" s="4" t="s">
        <v>19</v>
      </c>
      <c r="H41" s="22">
        <v>145.04</v>
      </c>
      <c r="I41" s="4" t="s">
        <v>261</v>
      </c>
      <c r="J41" s="2">
        <v>117</v>
      </c>
      <c r="K41" s="4" t="s">
        <v>262</v>
      </c>
      <c r="L41" s="4" t="s">
        <v>37</v>
      </c>
      <c r="M41" s="4" t="s">
        <v>23</v>
      </c>
      <c r="N41" s="3" t="s">
        <v>19</v>
      </c>
      <c r="O41" s="4" t="s">
        <v>37</v>
      </c>
      <c r="P41" s="4" t="s">
        <v>64</v>
      </c>
      <c r="Q41" s="4" t="s">
        <v>263</v>
      </c>
      <c r="R41">
        <f t="shared" si="0"/>
        <v>0</v>
      </c>
    </row>
    <row r="42" spans="1:18" x14ac:dyDescent="0.3">
      <c r="A42" s="2" t="s">
        <v>264</v>
      </c>
      <c r="B42" s="2">
        <v>2025</v>
      </c>
      <c r="C42" s="2" t="s">
        <v>265</v>
      </c>
      <c r="D42" s="2" t="s">
        <v>17</v>
      </c>
      <c r="E42" s="2" t="s">
        <v>54</v>
      </c>
      <c r="F42" s="2" t="s">
        <v>28</v>
      </c>
      <c r="G42" s="2" t="s">
        <v>37</v>
      </c>
      <c r="H42" s="22">
        <v>167.04</v>
      </c>
      <c r="I42" s="2" t="s">
        <v>266</v>
      </c>
      <c r="J42" s="2">
        <v>140</v>
      </c>
      <c r="K42" s="2" t="s">
        <v>267</v>
      </c>
      <c r="L42" s="2" t="s">
        <v>28</v>
      </c>
      <c r="M42" s="2" t="s">
        <v>23</v>
      </c>
      <c r="N42" s="3" t="s">
        <v>37</v>
      </c>
      <c r="O42" s="2" t="s">
        <v>28</v>
      </c>
      <c r="P42" s="2" t="s">
        <v>151</v>
      </c>
      <c r="Q42" s="2" t="s">
        <v>268</v>
      </c>
      <c r="R42">
        <f t="shared" si="0"/>
        <v>0</v>
      </c>
    </row>
    <row r="43" spans="1:18" x14ac:dyDescent="0.3">
      <c r="A43" s="4" t="s">
        <v>269</v>
      </c>
      <c r="B43" s="4">
        <v>2025</v>
      </c>
      <c r="C43" s="4" t="s">
        <v>270</v>
      </c>
      <c r="D43" s="4" t="s">
        <v>17</v>
      </c>
      <c r="E43" s="4" t="s">
        <v>117</v>
      </c>
      <c r="F43" s="4" t="s">
        <v>20</v>
      </c>
      <c r="G43" s="4" t="s">
        <v>81</v>
      </c>
      <c r="H43" s="22">
        <v>185.04</v>
      </c>
      <c r="I43" s="4" t="s">
        <v>271</v>
      </c>
      <c r="J43" s="2">
        <v>149</v>
      </c>
      <c r="K43" s="4" t="s">
        <v>272</v>
      </c>
      <c r="L43" s="4" t="s">
        <v>20</v>
      </c>
      <c r="M43" s="4" t="s">
        <v>31</v>
      </c>
      <c r="N43" s="3" t="s">
        <v>81</v>
      </c>
      <c r="O43" s="4" t="s">
        <v>20</v>
      </c>
      <c r="P43" s="4" t="s">
        <v>151</v>
      </c>
      <c r="Q43" s="4" t="s">
        <v>273</v>
      </c>
      <c r="R43">
        <f t="shared" si="0"/>
        <v>0</v>
      </c>
    </row>
    <row r="44" spans="1:18" x14ac:dyDescent="0.3">
      <c r="A44" s="2" t="s">
        <v>274</v>
      </c>
      <c r="B44" s="2">
        <v>2025</v>
      </c>
      <c r="C44" s="2" t="s">
        <v>275</v>
      </c>
      <c r="D44" s="2" t="s">
        <v>17</v>
      </c>
      <c r="E44" s="2" t="s">
        <v>141</v>
      </c>
      <c r="F44" s="2" t="s">
        <v>142</v>
      </c>
      <c r="G44" s="2" t="s">
        <v>37</v>
      </c>
      <c r="H44" s="22">
        <v>199.04</v>
      </c>
      <c r="I44" s="2" t="s">
        <v>276</v>
      </c>
      <c r="J44" s="2">
        <v>180</v>
      </c>
      <c r="K44" s="2" t="s">
        <v>277</v>
      </c>
      <c r="L44" s="2" t="s">
        <v>37</v>
      </c>
      <c r="M44" s="2" t="s">
        <v>23</v>
      </c>
      <c r="N44" s="3" t="s">
        <v>37</v>
      </c>
      <c r="O44" s="2" t="s">
        <v>142</v>
      </c>
      <c r="P44" s="2" t="s">
        <v>163</v>
      </c>
      <c r="Q44" s="2" t="s">
        <v>278</v>
      </c>
      <c r="R44">
        <f t="shared" si="0"/>
        <v>1</v>
      </c>
    </row>
    <row r="45" spans="1:18" x14ac:dyDescent="0.3">
      <c r="A45" s="4" t="s">
        <v>279</v>
      </c>
      <c r="B45" s="4">
        <v>2025</v>
      </c>
      <c r="C45" s="4" t="s">
        <v>280</v>
      </c>
      <c r="D45" s="4" t="s">
        <v>17</v>
      </c>
      <c r="E45" s="4" t="s">
        <v>45</v>
      </c>
      <c r="F45" s="4" t="s">
        <v>46</v>
      </c>
      <c r="G45" s="4" t="s">
        <v>142</v>
      </c>
      <c r="H45" s="22">
        <v>212.04</v>
      </c>
      <c r="I45" s="4" t="s">
        <v>281</v>
      </c>
      <c r="J45" s="2">
        <v>139</v>
      </c>
      <c r="K45" s="4" t="s">
        <v>282</v>
      </c>
      <c r="L45" s="4" t="s">
        <v>46</v>
      </c>
      <c r="M45" s="4" t="s">
        <v>23</v>
      </c>
      <c r="N45" s="3" t="s">
        <v>142</v>
      </c>
      <c r="O45" s="4" t="s">
        <v>46</v>
      </c>
      <c r="P45" s="4" t="s">
        <v>24</v>
      </c>
      <c r="Q45" s="4" t="s">
        <v>283</v>
      </c>
      <c r="R45">
        <f t="shared" si="0"/>
        <v>0</v>
      </c>
    </row>
    <row r="46" spans="1:18" x14ac:dyDescent="0.3">
      <c r="A46" s="2" t="s">
        <v>284</v>
      </c>
      <c r="B46" s="2">
        <v>2025</v>
      </c>
      <c r="C46" s="2" t="s">
        <v>285</v>
      </c>
      <c r="D46" s="2" t="s">
        <v>17</v>
      </c>
      <c r="E46" s="2" t="s">
        <v>68</v>
      </c>
      <c r="F46" s="2" t="s">
        <v>38</v>
      </c>
      <c r="G46" s="2" t="s">
        <v>37</v>
      </c>
      <c r="H46" s="22">
        <v>183.04</v>
      </c>
      <c r="I46" s="2" t="s">
        <v>286</v>
      </c>
      <c r="J46" s="2">
        <v>146</v>
      </c>
      <c r="K46" s="2" t="s">
        <v>287</v>
      </c>
      <c r="L46" s="2" t="s">
        <v>38</v>
      </c>
      <c r="M46" s="2" t="s">
        <v>23</v>
      </c>
      <c r="N46" s="3" t="s">
        <v>37</v>
      </c>
      <c r="O46" s="2" t="s">
        <v>38</v>
      </c>
      <c r="P46" s="2" t="s">
        <v>163</v>
      </c>
      <c r="Q46" s="2" t="s">
        <v>288</v>
      </c>
      <c r="R46">
        <f t="shared" si="0"/>
        <v>0</v>
      </c>
    </row>
    <row r="47" spans="1:18" x14ac:dyDescent="0.3">
      <c r="A47" s="4" t="s">
        <v>289</v>
      </c>
      <c r="B47" s="4">
        <v>2025</v>
      </c>
      <c r="C47" s="4" t="s">
        <v>290</v>
      </c>
      <c r="D47" s="4" t="s">
        <v>17</v>
      </c>
      <c r="E47" s="4" t="s">
        <v>80</v>
      </c>
      <c r="F47" s="4" t="s">
        <v>81</v>
      </c>
      <c r="G47" s="4" t="s">
        <v>20</v>
      </c>
      <c r="H47" s="22">
        <v>153.04</v>
      </c>
      <c r="I47" s="4" t="s">
        <v>291</v>
      </c>
      <c r="J47" s="2">
        <v>148</v>
      </c>
      <c r="K47" s="4" t="s">
        <v>292</v>
      </c>
      <c r="L47" s="4" t="s">
        <v>20</v>
      </c>
      <c r="M47" s="4" t="s">
        <v>31</v>
      </c>
      <c r="N47" s="3" t="s">
        <v>20</v>
      </c>
      <c r="O47" s="4" t="s">
        <v>81</v>
      </c>
      <c r="P47" s="4" t="s">
        <v>64</v>
      </c>
      <c r="Q47" s="4" t="s">
        <v>293</v>
      </c>
      <c r="R47">
        <f t="shared" si="0"/>
        <v>1</v>
      </c>
    </row>
    <row r="48" spans="1:18" x14ac:dyDescent="0.3">
      <c r="A48" s="2" t="s">
        <v>294</v>
      </c>
      <c r="B48" s="2">
        <v>2025</v>
      </c>
      <c r="C48" s="2" t="s">
        <v>295</v>
      </c>
      <c r="D48" s="2" t="s">
        <v>17</v>
      </c>
      <c r="E48" s="2" t="s">
        <v>110</v>
      </c>
      <c r="F48" s="2" t="s">
        <v>55</v>
      </c>
      <c r="G48" s="2" t="s">
        <v>38</v>
      </c>
      <c r="H48" s="22">
        <v>142.04</v>
      </c>
      <c r="I48" s="2" t="s">
        <v>296</v>
      </c>
      <c r="J48" s="2">
        <v>139</v>
      </c>
      <c r="K48" s="2" t="s">
        <v>297</v>
      </c>
      <c r="L48" s="2" t="s">
        <v>55</v>
      </c>
      <c r="M48" s="2" t="s">
        <v>31</v>
      </c>
      <c r="N48" s="3" t="s">
        <v>38</v>
      </c>
      <c r="O48" s="2" t="s">
        <v>55</v>
      </c>
      <c r="P48" s="2" t="s">
        <v>151</v>
      </c>
      <c r="Q48" s="2" t="s">
        <v>91</v>
      </c>
      <c r="R48">
        <f t="shared" si="0"/>
        <v>0</v>
      </c>
    </row>
    <row r="49" spans="1:18" x14ac:dyDescent="0.3">
      <c r="A49" s="4" t="s">
        <v>298</v>
      </c>
      <c r="B49" s="4">
        <v>2025</v>
      </c>
      <c r="C49" s="4" t="s">
        <v>299</v>
      </c>
      <c r="D49" s="4" t="s">
        <v>17</v>
      </c>
      <c r="E49" s="4" t="s">
        <v>117</v>
      </c>
      <c r="F49" s="4" t="s">
        <v>20</v>
      </c>
      <c r="G49" s="4" t="s">
        <v>47</v>
      </c>
      <c r="H49" s="22">
        <v>186.04</v>
      </c>
      <c r="I49" s="4" t="s">
        <v>300</v>
      </c>
      <c r="J49" s="2">
        <v>158</v>
      </c>
      <c r="K49" s="4" t="s">
        <v>301</v>
      </c>
      <c r="L49" s="4" t="s">
        <v>47</v>
      </c>
      <c r="M49" s="4" t="s">
        <v>31</v>
      </c>
      <c r="N49" s="3" t="s">
        <v>20</v>
      </c>
      <c r="O49" s="4" t="s">
        <v>47</v>
      </c>
      <c r="P49" s="4" t="s">
        <v>302</v>
      </c>
      <c r="Q49" s="4" t="s">
        <v>114</v>
      </c>
      <c r="R49">
        <f t="shared" si="0"/>
        <v>0</v>
      </c>
    </row>
    <row r="50" spans="1:18" x14ac:dyDescent="0.3">
      <c r="A50" s="2" t="s">
        <v>303</v>
      </c>
      <c r="B50" s="2">
        <v>2025</v>
      </c>
      <c r="C50" s="2" t="s">
        <v>304</v>
      </c>
      <c r="D50" s="2" t="s">
        <v>17</v>
      </c>
      <c r="E50" s="2" t="s">
        <v>110</v>
      </c>
      <c r="F50" s="2" t="s">
        <v>55</v>
      </c>
      <c r="G50" s="2" t="s">
        <v>37</v>
      </c>
      <c r="H50" s="22">
        <v>231.04</v>
      </c>
      <c r="I50" s="2" t="s">
        <v>305</v>
      </c>
      <c r="J50" s="2">
        <v>155</v>
      </c>
      <c r="K50" s="2" t="s">
        <v>306</v>
      </c>
      <c r="L50" s="2" t="s">
        <v>37</v>
      </c>
      <c r="M50" s="2" t="s">
        <v>23</v>
      </c>
      <c r="N50" s="3" t="s">
        <v>37</v>
      </c>
      <c r="O50" s="2" t="s">
        <v>55</v>
      </c>
      <c r="P50" s="2" t="s">
        <v>151</v>
      </c>
      <c r="Q50" s="2" t="s">
        <v>307</v>
      </c>
      <c r="R50">
        <f t="shared" si="0"/>
        <v>1</v>
      </c>
    </row>
    <row r="51" spans="1:18" x14ac:dyDescent="0.3">
      <c r="A51" s="4" t="s">
        <v>308</v>
      </c>
      <c r="B51" s="4">
        <v>2025</v>
      </c>
      <c r="C51" s="4" t="s">
        <v>309</v>
      </c>
      <c r="D51" s="4" t="s">
        <v>17</v>
      </c>
      <c r="E51" s="4" t="s">
        <v>141</v>
      </c>
      <c r="F51" s="4" t="s">
        <v>142</v>
      </c>
      <c r="G51" s="4" t="s">
        <v>20</v>
      </c>
      <c r="H51" s="22">
        <v>196.05</v>
      </c>
      <c r="I51" s="4" t="s">
        <v>310</v>
      </c>
      <c r="J51" s="2">
        <v>126</v>
      </c>
      <c r="K51" s="4" t="s">
        <v>311</v>
      </c>
      <c r="L51" s="4" t="s">
        <v>142</v>
      </c>
      <c r="M51" s="4" t="s">
        <v>23</v>
      </c>
      <c r="N51" s="3" t="s">
        <v>20</v>
      </c>
      <c r="O51" s="4" t="s">
        <v>142</v>
      </c>
      <c r="P51" s="4" t="s">
        <v>151</v>
      </c>
      <c r="Q51" s="4" t="s">
        <v>312</v>
      </c>
      <c r="R51">
        <f t="shared" si="0"/>
        <v>0</v>
      </c>
    </row>
    <row r="52" spans="1:18" x14ac:dyDescent="0.3">
      <c r="A52" s="2" t="s">
        <v>313</v>
      </c>
      <c r="B52" s="2">
        <v>2025</v>
      </c>
      <c r="C52" s="2" t="s">
        <v>314</v>
      </c>
      <c r="D52" s="2" t="s">
        <v>17</v>
      </c>
      <c r="E52" s="2" t="s">
        <v>45</v>
      </c>
      <c r="F52" s="2" t="s">
        <v>46</v>
      </c>
      <c r="G52" s="2" t="s">
        <v>55</v>
      </c>
      <c r="H52" s="22">
        <v>166.05</v>
      </c>
      <c r="I52" s="2" t="s">
        <v>315</v>
      </c>
      <c r="J52" s="2">
        <v>157</v>
      </c>
      <c r="K52" s="2" t="s">
        <v>316</v>
      </c>
      <c r="L52" s="2" t="s">
        <v>55</v>
      </c>
      <c r="M52" s="2" t="s">
        <v>23</v>
      </c>
      <c r="N52" s="3" t="s">
        <v>55</v>
      </c>
      <c r="O52" s="2" t="s">
        <v>46</v>
      </c>
      <c r="P52" s="2" t="s">
        <v>163</v>
      </c>
      <c r="Q52" s="2" t="s">
        <v>317</v>
      </c>
      <c r="R52">
        <f t="shared" si="0"/>
        <v>1</v>
      </c>
    </row>
    <row r="53" spans="1:18" x14ac:dyDescent="0.3">
      <c r="A53" s="4" t="s">
        <v>318</v>
      </c>
      <c r="B53" s="4">
        <v>2025</v>
      </c>
      <c r="C53" s="4" t="s">
        <v>319</v>
      </c>
      <c r="D53" s="4" t="s">
        <v>17</v>
      </c>
      <c r="E53" s="4" t="s">
        <v>18</v>
      </c>
      <c r="F53" s="4" t="s">
        <v>19</v>
      </c>
      <c r="G53" s="4" t="s">
        <v>81</v>
      </c>
      <c r="H53" s="22">
        <v>227.05</v>
      </c>
      <c r="I53" s="4" t="s">
        <v>320</v>
      </c>
      <c r="J53" s="2">
        <v>151</v>
      </c>
      <c r="K53" s="4" t="s">
        <v>321</v>
      </c>
      <c r="L53" s="4" t="s">
        <v>19</v>
      </c>
      <c r="M53" s="4" t="s">
        <v>23</v>
      </c>
      <c r="N53" s="3" t="s">
        <v>81</v>
      </c>
      <c r="O53" s="4" t="s">
        <v>19</v>
      </c>
      <c r="P53" s="4" t="s">
        <v>24</v>
      </c>
      <c r="Q53" s="4" t="s">
        <v>322</v>
      </c>
      <c r="R53">
        <f t="shared" si="0"/>
        <v>0</v>
      </c>
    </row>
    <row r="54" spans="1:18" x14ac:dyDescent="0.3">
      <c r="A54" s="2" t="s">
        <v>323</v>
      </c>
      <c r="B54" s="2">
        <v>2025</v>
      </c>
      <c r="C54" s="2" t="s">
        <v>324</v>
      </c>
      <c r="D54" s="2" t="s">
        <v>17</v>
      </c>
      <c r="E54" s="2" t="s">
        <v>45</v>
      </c>
      <c r="F54" s="2" t="s">
        <v>46</v>
      </c>
      <c r="G54" s="2" t="s">
        <v>37</v>
      </c>
      <c r="H54" s="22">
        <v>150.05000000000001</v>
      </c>
      <c r="I54" s="2" t="s">
        <v>325</v>
      </c>
      <c r="J54" s="2">
        <v>178</v>
      </c>
      <c r="K54" s="2" t="s">
        <v>326</v>
      </c>
      <c r="L54" s="2" t="s">
        <v>37</v>
      </c>
      <c r="M54" s="2" t="s">
        <v>31</v>
      </c>
      <c r="N54" s="3" t="s">
        <v>37</v>
      </c>
      <c r="O54" s="2" t="s">
        <v>46</v>
      </c>
      <c r="P54" s="2" t="s">
        <v>302</v>
      </c>
      <c r="Q54" s="2" t="s">
        <v>327</v>
      </c>
      <c r="R54">
        <f t="shared" si="0"/>
        <v>1</v>
      </c>
    </row>
    <row r="55" spans="1:18" x14ac:dyDescent="0.3">
      <c r="A55" s="4" t="s">
        <v>328</v>
      </c>
      <c r="B55" s="4">
        <v>2025</v>
      </c>
      <c r="C55" s="4" t="s">
        <v>329</v>
      </c>
      <c r="D55" s="4" t="s">
        <v>17</v>
      </c>
      <c r="E55" s="4" t="s">
        <v>110</v>
      </c>
      <c r="F55" s="4" t="s">
        <v>55</v>
      </c>
      <c r="G55" s="4" t="s">
        <v>142</v>
      </c>
      <c r="H55" s="22">
        <v>211.05</v>
      </c>
      <c r="I55" s="4" t="s">
        <v>330</v>
      </c>
      <c r="J55" s="2">
        <v>215</v>
      </c>
      <c r="K55" s="4" t="s">
        <v>331</v>
      </c>
      <c r="L55" s="4" t="s">
        <v>55</v>
      </c>
      <c r="M55" s="4" t="s">
        <v>31</v>
      </c>
      <c r="N55" s="3" t="s">
        <v>55</v>
      </c>
      <c r="O55" s="4" t="s">
        <v>142</v>
      </c>
      <c r="P55" s="4" t="s">
        <v>113</v>
      </c>
      <c r="Q55" s="4" t="s">
        <v>332</v>
      </c>
      <c r="R55">
        <f t="shared" si="0"/>
        <v>1</v>
      </c>
    </row>
    <row r="56" spans="1:18" x14ac:dyDescent="0.3">
      <c r="A56" s="2" t="s">
        <v>333</v>
      </c>
      <c r="B56" s="2">
        <v>2025</v>
      </c>
      <c r="C56" s="2" t="s">
        <v>334</v>
      </c>
      <c r="D56" s="2" t="s">
        <v>17</v>
      </c>
      <c r="E56" s="2" t="s">
        <v>18</v>
      </c>
      <c r="F56" s="2" t="s">
        <v>19</v>
      </c>
      <c r="G56" s="2" t="s">
        <v>55</v>
      </c>
      <c r="H56" s="22">
        <v>131.05000000000001</v>
      </c>
      <c r="I56" s="2" t="s">
        <v>335</v>
      </c>
      <c r="J56" s="2">
        <v>201</v>
      </c>
      <c r="K56" s="2" t="s">
        <v>336</v>
      </c>
      <c r="L56" s="2" t="s">
        <v>19</v>
      </c>
      <c r="M56" s="2" t="s">
        <v>31</v>
      </c>
      <c r="N56" s="3" t="s">
        <v>19</v>
      </c>
      <c r="O56" s="2" t="s">
        <v>55</v>
      </c>
      <c r="P56" s="2" t="s">
        <v>245</v>
      </c>
      <c r="Q56" s="2" t="s">
        <v>77</v>
      </c>
      <c r="R56">
        <f t="shared" si="0"/>
        <v>1</v>
      </c>
    </row>
    <row r="57" spans="1:18" x14ac:dyDescent="0.3">
      <c r="A57" s="4" t="s">
        <v>337</v>
      </c>
      <c r="B57" s="4">
        <v>2025</v>
      </c>
      <c r="C57" s="4" t="s">
        <v>338</v>
      </c>
      <c r="D57" s="4" t="s">
        <v>17</v>
      </c>
      <c r="E57" s="4" t="s">
        <v>141</v>
      </c>
      <c r="F57" s="4" t="s">
        <v>142</v>
      </c>
      <c r="G57" s="4" t="s">
        <v>19</v>
      </c>
      <c r="H57" s="22">
        <v>220.05</v>
      </c>
      <c r="I57" s="4" t="s">
        <v>339</v>
      </c>
      <c r="J57" s="2">
        <v>119</v>
      </c>
      <c r="K57" s="4" t="s">
        <v>340</v>
      </c>
      <c r="L57" s="4" t="s">
        <v>19</v>
      </c>
      <c r="M57" s="4" t="s">
        <v>31</v>
      </c>
      <c r="N57" s="3" t="s">
        <v>142</v>
      </c>
      <c r="O57" s="4" t="s">
        <v>19</v>
      </c>
      <c r="P57" s="4" t="s">
        <v>341</v>
      </c>
      <c r="Q57" s="4" t="s">
        <v>342</v>
      </c>
      <c r="R57">
        <f t="shared" si="0"/>
        <v>0</v>
      </c>
    </row>
    <row r="58" spans="1:18" x14ac:dyDescent="0.3">
      <c r="A58" s="2" t="s">
        <v>343</v>
      </c>
      <c r="B58" s="2">
        <v>2025</v>
      </c>
      <c r="C58" s="2" t="s">
        <v>344</v>
      </c>
      <c r="D58" s="2" t="s">
        <v>17</v>
      </c>
      <c r="E58" s="2" t="s">
        <v>36</v>
      </c>
      <c r="F58" s="2" t="s">
        <v>37</v>
      </c>
      <c r="G58" s="2" t="s">
        <v>55</v>
      </c>
      <c r="H58" s="22">
        <v>219.05</v>
      </c>
      <c r="I58" s="2" t="s">
        <v>345</v>
      </c>
      <c r="J58" s="2">
        <v>156</v>
      </c>
      <c r="K58" s="2" t="s">
        <v>346</v>
      </c>
      <c r="L58" s="2" t="s">
        <v>37</v>
      </c>
      <c r="M58" s="2" t="s">
        <v>23</v>
      </c>
      <c r="N58" s="3" t="s">
        <v>55</v>
      </c>
      <c r="O58" s="2" t="s">
        <v>37</v>
      </c>
      <c r="P58" s="2" t="s">
        <v>64</v>
      </c>
      <c r="Q58" s="2" t="s">
        <v>180</v>
      </c>
      <c r="R58">
        <f t="shared" si="0"/>
        <v>0</v>
      </c>
    </row>
    <row r="59" spans="1:18" x14ac:dyDescent="0.3">
      <c r="A59" s="4" t="s">
        <v>347</v>
      </c>
      <c r="B59" s="4">
        <v>2025</v>
      </c>
      <c r="C59" s="4" t="s">
        <v>348</v>
      </c>
      <c r="D59" s="4" t="s">
        <v>17</v>
      </c>
      <c r="E59" s="4" t="s">
        <v>18</v>
      </c>
      <c r="F59" s="4" t="s">
        <v>19</v>
      </c>
      <c r="G59" s="4" t="s">
        <v>37</v>
      </c>
      <c r="H59" s="22">
        <v>186.05</v>
      </c>
      <c r="I59" s="4" t="s">
        <v>349</v>
      </c>
      <c r="J59" s="2">
        <v>228</v>
      </c>
      <c r="K59" s="4" t="s">
        <v>350</v>
      </c>
      <c r="L59" s="4" t="s">
        <v>19</v>
      </c>
      <c r="M59" s="4" t="s">
        <v>31</v>
      </c>
      <c r="N59" s="3" t="s">
        <v>19</v>
      </c>
      <c r="O59" s="4" t="s">
        <v>37</v>
      </c>
      <c r="P59" s="4" t="s">
        <v>24</v>
      </c>
      <c r="Q59" s="4" t="s">
        <v>351</v>
      </c>
      <c r="R59">
        <f t="shared" si="0"/>
        <v>1</v>
      </c>
    </row>
    <row r="60" spans="1:18" x14ac:dyDescent="0.3">
      <c r="A60" s="2" t="s">
        <v>352</v>
      </c>
      <c r="B60" s="2">
        <v>2025</v>
      </c>
      <c r="C60" s="2" t="s">
        <v>353</v>
      </c>
      <c r="D60" s="2" t="s">
        <v>17</v>
      </c>
      <c r="E60" s="2" t="s">
        <v>110</v>
      </c>
      <c r="F60" s="2" t="s">
        <v>55</v>
      </c>
      <c r="G60" s="2" t="s">
        <v>81</v>
      </c>
      <c r="H60" s="22">
        <v>178.05</v>
      </c>
      <c r="I60" s="2" t="s">
        <v>354</v>
      </c>
      <c r="J60" s="2">
        <v>218</v>
      </c>
      <c r="K60" s="2" t="s">
        <v>355</v>
      </c>
      <c r="L60" s="2" t="s">
        <v>55</v>
      </c>
      <c r="M60" s="2" t="s">
        <v>23</v>
      </c>
      <c r="N60" s="3" t="s">
        <v>55</v>
      </c>
      <c r="O60" s="2" t="s">
        <v>81</v>
      </c>
      <c r="P60" s="2" t="s">
        <v>151</v>
      </c>
      <c r="Q60" s="2" t="s">
        <v>356</v>
      </c>
      <c r="R60">
        <f t="shared" si="0"/>
        <v>1</v>
      </c>
    </row>
    <row r="61" spans="1:18" x14ac:dyDescent="0.3">
      <c r="A61" s="4" t="s">
        <v>357</v>
      </c>
      <c r="B61" s="4">
        <v>2025</v>
      </c>
      <c r="C61" s="4" t="s">
        <v>358</v>
      </c>
      <c r="D61" s="4" t="s">
        <v>17</v>
      </c>
      <c r="E61" s="4" t="s">
        <v>36</v>
      </c>
      <c r="F61" s="4" t="s">
        <v>37</v>
      </c>
      <c r="G61" s="4" t="s">
        <v>28</v>
      </c>
      <c r="H61" s="22">
        <v>168.06</v>
      </c>
      <c r="I61" s="4" t="s">
        <v>359</v>
      </c>
      <c r="J61" s="2">
        <v>169</v>
      </c>
      <c r="K61" s="4" t="s">
        <v>360</v>
      </c>
      <c r="L61" s="4" t="s">
        <v>28</v>
      </c>
      <c r="M61" s="4" t="s">
        <v>31</v>
      </c>
      <c r="N61" s="3" t="s">
        <v>28</v>
      </c>
      <c r="O61" s="4" t="s">
        <v>37</v>
      </c>
      <c r="P61" s="4" t="s">
        <v>361</v>
      </c>
      <c r="Q61" s="4" t="s">
        <v>362</v>
      </c>
      <c r="R61">
        <f t="shared" si="0"/>
        <v>1</v>
      </c>
    </row>
    <row r="62" spans="1:18" x14ac:dyDescent="0.3">
      <c r="A62" s="2" t="s">
        <v>363</v>
      </c>
      <c r="B62" s="2">
        <v>2025</v>
      </c>
      <c r="C62" s="2" t="s">
        <v>364</v>
      </c>
      <c r="D62" s="2" t="s">
        <v>17</v>
      </c>
      <c r="E62" s="2" t="s">
        <v>141</v>
      </c>
      <c r="F62" s="2" t="s">
        <v>142</v>
      </c>
      <c r="G62" s="2" t="s">
        <v>46</v>
      </c>
      <c r="H62" s="22">
        <v>199.06</v>
      </c>
      <c r="I62" s="2" t="s">
        <v>365</v>
      </c>
      <c r="J62" s="2">
        <v>149</v>
      </c>
      <c r="K62" s="2" t="s">
        <v>366</v>
      </c>
      <c r="L62" s="2" t="s">
        <v>142</v>
      </c>
      <c r="M62" s="2" t="s">
        <v>23</v>
      </c>
      <c r="N62" s="3" t="s">
        <v>46</v>
      </c>
      <c r="O62" s="2" t="s">
        <v>142</v>
      </c>
      <c r="P62" s="2" t="s">
        <v>217</v>
      </c>
      <c r="Q62" s="2" t="s">
        <v>367</v>
      </c>
      <c r="R62">
        <f t="shared" si="0"/>
        <v>0</v>
      </c>
    </row>
    <row r="63" spans="1:18" x14ac:dyDescent="0.3">
      <c r="A63" s="4" t="s">
        <v>368</v>
      </c>
      <c r="B63" s="4">
        <v>2025</v>
      </c>
      <c r="C63" s="4" t="s">
        <v>369</v>
      </c>
      <c r="D63" s="4" t="s">
        <v>17</v>
      </c>
      <c r="E63" s="4" t="s">
        <v>80</v>
      </c>
      <c r="F63" s="4" t="s">
        <v>81</v>
      </c>
      <c r="G63" s="4" t="s">
        <v>142</v>
      </c>
      <c r="H63" s="22">
        <v>139.06</v>
      </c>
      <c r="I63" s="4" t="s">
        <v>370</v>
      </c>
      <c r="J63" s="2">
        <v>205</v>
      </c>
      <c r="K63" s="4" t="s">
        <v>371</v>
      </c>
      <c r="L63" s="4" t="s">
        <v>142</v>
      </c>
      <c r="M63" s="4" t="s">
        <v>31</v>
      </c>
      <c r="N63" s="3" t="s">
        <v>81</v>
      </c>
      <c r="O63" s="4" t="s">
        <v>142</v>
      </c>
      <c r="P63" s="4" t="s">
        <v>133</v>
      </c>
      <c r="Q63" s="4" t="s">
        <v>85</v>
      </c>
      <c r="R63">
        <f t="shared" si="0"/>
        <v>0</v>
      </c>
    </row>
    <row r="64" spans="1:18" x14ac:dyDescent="0.3">
      <c r="A64" s="2" t="s">
        <v>372</v>
      </c>
      <c r="B64" s="2">
        <v>2025</v>
      </c>
      <c r="C64" s="2" t="s">
        <v>373</v>
      </c>
      <c r="D64" s="2" t="s">
        <v>17</v>
      </c>
      <c r="E64" s="2" t="s">
        <v>117</v>
      </c>
      <c r="F64" s="2" t="s">
        <v>20</v>
      </c>
      <c r="G64" s="2" t="s">
        <v>28</v>
      </c>
      <c r="H64" s="22">
        <v>159.06</v>
      </c>
      <c r="I64" s="2" t="s">
        <v>374</v>
      </c>
      <c r="J64" s="2">
        <v>204</v>
      </c>
      <c r="K64" s="2" t="s">
        <v>375</v>
      </c>
      <c r="L64" s="2" t="s">
        <v>28</v>
      </c>
      <c r="M64" s="2" t="s">
        <v>23</v>
      </c>
      <c r="N64" s="3" t="s">
        <v>28</v>
      </c>
      <c r="O64" s="2" t="s">
        <v>20</v>
      </c>
      <c r="P64" s="2" t="s">
        <v>376</v>
      </c>
      <c r="Q64" s="2" t="s">
        <v>362</v>
      </c>
      <c r="R64">
        <f t="shared" si="0"/>
        <v>1</v>
      </c>
    </row>
    <row r="65" spans="1:18" x14ac:dyDescent="0.3">
      <c r="A65" s="4" t="s">
        <v>377</v>
      </c>
      <c r="B65" s="4">
        <v>2025</v>
      </c>
      <c r="C65" s="4" t="s">
        <v>378</v>
      </c>
      <c r="D65" s="4" t="s">
        <v>17</v>
      </c>
      <c r="E65" s="4" t="s">
        <v>18</v>
      </c>
      <c r="F65" s="4" t="s">
        <v>19</v>
      </c>
      <c r="G65" s="4" t="s">
        <v>38</v>
      </c>
      <c r="H65" s="22">
        <v>191.06</v>
      </c>
      <c r="I65" s="4" t="s">
        <v>379</v>
      </c>
      <c r="J65" s="2">
        <v>183</v>
      </c>
      <c r="K65" s="4" t="s">
        <v>380</v>
      </c>
      <c r="L65" s="4" t="s">
        <v>38</v>
      </c>
      <c r="M65" s="4" t="s">
        <v>31</v>
      </c>
      <c r="N65" s="3" t="s">
        <v>38</v>
      </c>
      <c r="O65" s="4" t="s">
        <v>19</v>
      </c>
      <c r="P65" s="4" t="s">
        <v>64</v>
      </c>
      <c r="Q65" s="4" t="s">
        <v>71</v>
      </c>
      <c r="R65">
        <f t="shared" si="0"/>
        <v>1</v>
      </c>
    </row>
    <row r="66" spans="1:18" x14ac:dyDescent="0.3">
      <c r="A66" s="2" t="s">
        <v>381</v>
      </c>
      <c r="B66" s="2">
        <v>2025</v>
      </c>
      <c r="C66" s="2" t="s">
        <v>382</v>
      </c>
      <c r="D66" s="2" t="s">
        <v>17</v>
      </c>
      <c r="E66" s="2" t="s">
        <v>68</v>
      </c>
      <c r="F66" s="2" t="s">
        <v>38</v>
      </c>
      <c r="G66" s="2" t="s">
        <v>55</v>
      </c>
      <c r="H66" s="22">
        <v>220.06</v>
      </c>
      <c r="I66" s="2" t="s">
        <v>383</v>
      </c>
      <c r="J66" s="2">
        <v>230</v>
      </c>
      <c r="K66" s="2" t="s">
        <v>384</v>
      </c>
      <c r="L66" s="2" t="s">
        <v>55</v>
      </c>
      <c r="M66" s="2" t="s">
        <v>23</v>
      </c>
      <c r="N66" s="3" t="s">
        <v>38</v>
      </c>
      <c r="O66" s="2" t="s">
        <v>55</v>
      </c>
      <c r="P66" s="2" t="s">
        <v>133</v>
      </c>
      <c r="Q66" s="2" t="s">
        <v>385</v>
      </c>
      <c r="R66">
        <f t="shared" si="0"/>
        <v>0</v>
      </c>
    </row>
    <row r="67" spans="1:18" x14ac:dyDescent="0.3">
      <c r="A67" s="4" t="s">
        <v>386</v>
      </c>
      <c r="B67" s="4">
        <v>2025</v>
      </c>
      <c r="C67" s="4" t="s">
        <v>387</v>
      </c>
      <c r="D67" s="4" t="s">
        <v>17</v>
      </c>
      <c r="E67" s="4" t="s">
        <v>45</v>
      </c>
      <c r="F67" s="4" t="s">
        <v>46</v>
      </c>
      <c r="G67" s="4" t="s">
        <v>81</v>
      </c>
      <c r="H67" s="22">
        <v>140.06</v>
      </c>
      <c r="I67" s="4" t="s">
        <v>388</v>
      </c>
      <c r="J67" s="2">
        <v>160</v>
      </c>
      <c r="K67" s="4" t="s">
        <v>389</v>
      </c>
      <c r="L67" s="4" t="s">
        <v>46</v>
      </c>
      <c r="M67" s="4" t="s">
        <v>23</v>
      </c>
      <c r="N67" s="3" t="s">
        <v>81</v>
      </c>
      <c r="O67" s="4" t="s">
        <v>46</v>
      </c>
      <c r="P67" s="4" t="s">
        <v>390</v>
      </c>
      <c r="Q67" s="4" t="s">
        <v>391</v>
      </c>
      <c r="R67">
        <f t="shared" ref="R67:R74" si="1">IF(L67=N67,1,0)</f>
        <v>0</v>
      </c>
    </row>
    <row r="68" spans="1:18" x14ac:dyDescent="0.3">
      <c r="A68" s="2" t="s">
        <v>392</v>
      </c>
      <c r="B68" s="2">
        <v>2025</v>
      </c>
      <c r="C68" s="2" t="s">
        <v>393</v>
      </c>
      <c r="D68" s="2" t="s">
        <v>17</v>
      </c>
      <c r="E68" s="2" t="s">
        <v>68</v>
      </c>
      <c r="F68" s="2" t="s">
        <v>38</v>
      </c>
      <c r="G68" s="2" t="s">
        <v>19</v>
      </c>
      <c r="H68" s="22">
        <v>188.06</v>
      </c>
      <c r="I68" s="2" t="s">
        <v>394</v>
      </c>
      <c r="J68" s="2">
        <v>214</v>
      </c>
      <c r="K68" s="2" t="s">
        <v>395</v>
      </c>
      <c r="L68" s="2" t="s">
        <v>38</v>
      </c>
      <c r="M68" s="2" t="s">
        <v>23</v>
      </c>
      <c r="N68" s="3" t="s">
        <v>38</v>
      </c>
      <c r="O68" s="2" t="s">
        <v>19</v>
      </c>
      <c r="P68" s="2" t="s">
        <v>217</v>
      </c>
      <c r="Q68" s="2" t="s">
        <v>396</v>
      </c>
      <c r="R68">
        <f t="shared" si="1"/>
        <v>1</v>
      </c>
    </row>
    <row r="69" spans="1:18" x14ac:dyDescent="0.3">
      <c r="A69" s="4" t="s">
        <v>397</v>
      </c>
      <c r="B69" s="4">
        <v>2025</v>
      </c>
      <c r="C69" s="4" t="s">
        <v>398</v>
      </c>
      <c r="D69" s="4" t="s">
        <v>17</v>
      </c>
      <c r="E69" s="4" t="s">
        <v>110</v>
      </c>
      <c r="F69" s="4" t="s">
        <v>55</v>
      </c>
      <c r="G69" s="4" t="s">
        <v>28</v>
      </c>
      <c r="H69" s="22">
        <v>145.06</v>
      </c>
      <c r="I69" s="4" t="s">
        <v>399</v>
      </c>
      <c r="J69" s="2">
        <v>219</v>
      </c>
      <c r="K69" s="4" t="s">
        <v>400</v>
      </c>
      <c r="L69" s="4" t="s">
        <v>28</v>
      </c>
      <c r="M69" s="4" t="s">
        <v>23</v>
      </c>
      <c r="N69" s="3" t="s">
        <v>55</v>
      </c>
      <c r="O69" s="4" t="s">
        <v>28</v>
      </c>
      <c r="P69" s="4" t="s">
        <v>24</v>
      </c>
      <c r="Q69" s="4" t="s">
        <v>332</v>
      </c>
      <c r="R69">
        <f t="shared" si="1"/>
        <v>0</v>
      </c>
    </row>
    <row r="70" spans="1:18" x14ac:dyDescent="0.3">
      <c r="A70" s="2" t="s">
        <v>401</v>
      </c>
      <c r="B70" s="2">
        <v>2025</v>
      </c>
      <c r="C70" s="2" t="s">
        <v>402</v>
      </c>
      <c r="D70" s="2" t="s">
        <v>17</v>
      </c>
      <c r="E70" s="2" t="s">
        <v>117</v>
      </c>
      <c r="F70" s="2" t="s">
        <v>20</v>
      </c>
      <c r="G70" s="2" t="s">
        <v>55</v>
      </c>
      <c r="H70" s="22">
        <v>157.06</v>
      </c>
      <c r="I70" s="2" t="s">
        <v>403</v>
      </c>
      <c r="J70" s="2">
        <v>114</v>
      </c>
      <c r="K70" s="2" t="s">
        <v>404</v>
      </c>
      <c r="L70" s="2" t="s">
        <v>55</v>
      </c>
      <c r="M70" s="2" t="s">
        <v>23</v>
      </c>
      <c r="N70" s="3" t="s">
        <v>20</v>
      </c>
      <c r="O70" s="2" t="s">
        <v>55</v>
      </c>
      <c r="P70" s="2" t="s">
        <v>405</v>
      </c>
      <c r="Q70" s="2" t="s">
        <v>114</v>
      </c>
      <c r="R70">
        <f t="shared" si="1"/>
        <v>0</v>
      </c>
    </row>
    <row r="71" spans="1:18" x14ac:dyDescent="0.3">
      <c r="A71" s="4" t="s">
        <v>406</v>
      </c>
      <c r="B71" s="4">
        <v>2025</v>
      </c>
      <c r="C71" s="4" t="s">
        <v>407</v>
      </c>
      <c r="D71" s="4" t="s">
        <v>17</v>
      </c>
      <c r="E71" s="4" t="s">
        <v>117</v>
      </c>
      <c r="F71" s="4" t="s">
        <v>20</v>
      </c>
      <c r="G71" s="4" t="s">
        <v>38</v>
      </c>
      <c r="H71" s="22">
        <v>222.07</v>
      </c>
      <c r="I71" s="4" t="s">
        <v>408</v>
      </c>
      <c r="J71" s="2">
        <v>177</v>
      </c>
      <c r="K71" s="4" t="s">
        <v>409</v>
      </c>
      <c r="L71" s="4" t="s">
        <v>20</v>
      </c>
      <c r="M71" s="4" t="s">
        <v>31</v>
      </c>
      <c r="N71" s="3" t="s">
        <v>38</v>
      </c>
      <c r="O71" s="4" t="s">
        <v>20</v>
      </c>
      <c r="P71" s="4" t="s">
        <v>217</v>
      </c>
      <c r="Q71" s="4" t="s">
        <v>410</v>
      </c>
      <c r="R71">
        <f t="shared" si="1"/>
        <v>0</v>
      </c>
    </row>
    <row r="72" spans="1:18" x14ac:dyDescent="0.3">
      <c r="A72" s="2" t="s">
        <v>411</v>
      </c>
      <c r="B72" s="2">
        <v>2025</v>
      </c>
      <c r="C72" s="2" t="s">
        <v>358</v>
      </c>
      <c r="D72" s="2" t="s">
        <v>412</v>
      </c>
      <c r="E72" s="2" t="s">
        <v>18</v>
      </c>
      <c r="F72" s="2" t="s">
        <v>20</v>
      </c>
      <c r="G72" s="2" t="s">
        <v>55</v>
      </c>
      <c r="H72" s="22">
        <v>206.07</v>
      </c>
      <c r="I72" s="2" t="s">
        <v>413</v>
      </c>
      <c r="J72" s="2">
        <v>194</v>
      </c>
      <c r="K72" s="2" t="s">
        <v>414</v>
      </c>
      <c r="L72" s="2" t="s">
        <v>55</v>
      </c>
      <c r="M72" s="2" t="s">
        <v>23</v>
      </c>
      <c r="N72" s="3" t="s">
        <v>20</v>
      </c>
      <c r="O72" s="2" t="s">
        <v>55</v>
      </c>
      <c r="P72" s="2" t="s">
        <v>415</v>
      </c>
      <c r="Q72" s="2" t="s">
        <v>114</v>
      </c>
      <c r="R72">
        <f t="shared" si="1"/>
        <v>0</v>
      </c>
    </row>
    <row r="73" spans="1:18" x14ac:dyDescent="0.3">
      <c r="A73" s="4" t="s">
        <v>416</v>
      </c>
      <c r="B73" s="4">
        <v>2025</v>
      </c>
      <c r="C73" s="4" t="s">
        <v>369</v>
      </c>
      <c r="D73" s="4" t="s">
        <v>417</v>
      </c>
      <c r="E73" s="4" t="s">
        <v>18</v>
      </c>
      <c r="F73" s="4" t="s">
        <v>81</v>
      </c>
      <c r="G73" s="4" t="s">
        <v>28</v>
      </c>
      <c r="H73" s="22">
        <v>211.07</v>
      </c>
      <c r="I73" s="4" t="s">
        <v>418</v>
      </c>
      <c r="J73" s="2">
        <v>138</v>
      </c>
      <c r="K73" s="4" t="s">
        <v>419</v>
      </c>
      <c r="L73" s="4" t="s">
        <v>81</v>
      </c>
      <c r="M73" s="4" t="s">
        <v>31</v>
      </c>
      <c r="N73" s="3" t="s">
        <v>28</v>
      </c>
      <c r="O73" s="4" t="s">
        <v>81</v>
      </c>
      <c r="P73" s="4" t="s">
        <v>420</v>
      </c>
      <c r="Q73" s="4" t="s">
        <v>421</v>
      </c>
      <c r="R73">
        <f t="shared" si="1"/>
        <v>0</v>
      </c>
    </row>
    <row r="74" spans="1:18" x14ac:dyDescent="0.3">
      <c r="A74" s="2" t="s">
        <v>422</v>
      </c>
      <c r="B74" s="2">
        <v>2025</v>
      </c>
      <c r="C74" s="2" t="s">
        <v>378</v>
      </c>
      <c r="D74" s="2" t="s">
        <v>423</v>
      </c>
      <c r="E74" s="2" t="s">
        <v>18</v>
      </c>
      <c r="F74" s="2" t="s">
        <v>81</v>
      </c>
      <c r="G74" s="2" t="s">
        <v>28</v>
      </c>
      <c r="H74" s="22">
        <v>163.07</v>
      </c>
      <c r="I74" s="2" t="s">
        <v>424</v>
      </c>
      <c r="J74" s="2">
        <v>192</v>
      </c>
      <c r="K74" s="2" t="s">
        <v>425</v>
      </c>
      <c r="L74" s="2" t="s">
        <v>28</v>
      </c>
      <c r="M74" s="2" t="s">
        <v>31</v>
      </c>
      <c r="N74" s="3" t="s">
        <v>28</v>
      </c>
      <c r="O74" s="2" t="s">
        <v>81</v>
      </c>
      <c r="P74" s="2" t="s">
        <v>426</v>
      </c>
      <c r="Q74" s="2" t="s">
        <v>362</v>
      </c>
      <c r="R74">
        <f t="shared" si="1"/>
        <v>1</v>
      </c>
    </row>
    <row r="75" spans="1:18" x14ac:dyDescent="0.3">
      <c r="A75" s="5" t="s">
        <v>427</v>
      </c>
      <c r="B75" s="5">
        <v>2025</v>
      </c>
      <c r="C75" s="5" t="s">
        <v>387</v>
      </c>
      <c r="D75" s="5" t="s">
        <v>428</v>
      </c>
      <c r="E75" s="5" t="s">
        <v>54</v>
      </c>
      <c r="F75" s="5" t="s">
        <v>20</v>
      </c>
      <c r="G75" s="5" t="s">
        <v>28</v>
      </c>
      <c r="H75" s="22">
        <v>159.07</v>
      </c>
      <c r="I75" s="5" t="s">
        <v>429</v>
      </c>
      <c r="J75" s="2">
        <v>203</v>
      </c>
      <c r="K75" s="5" t="s">
        <v>430</v>
      </c>
      <c r="L75" s="5" t="s">
        <v>28</v>
      </c>
      <c r="M75" s="5" t="s">
        <v>23</v>
      </c>
      <c r="N75" s="5" t="s">
        <v>37</v>
      </c>
      <c r="O75" s="5" t="s">
        <v>20</v>
      </c>
      <c r="P75" s="5" t="s">
        <v>431</v>
      </c>
      <c r="Q75" s="5" t="s">
        <v>432</v>
      </c>
    </row>
    <row r="76" spans="1:18" x14ac:dyDescent="0.3">
      <c r="J76" s="2"/>
    </row>
    <row r="77" spans="1:18" x14ac:dyDescent="0.3">
      <c r="J77" s="2"/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H502"/>
  <sheetViews>
    <sheetView zoomScale="81" workbookViewId="0">
      <pane ySplit="1" topLeftCell="A402" activePane="bottomLeft" state="frozen"/>
      <selection pane="bottomLeft" activeCell="K507" sqref="K507"/>
    </sheetView>
  </sheetViews>
  <sheetFormatPr defaultRowHeight="14.4" x14ac:dyDescent="0.3"/>
  <cols>
    <col min="1" max="1" width="12" customWidth="1"/>
    <col min="2" max="2" width="22" customWidth="1"/>
    <col min="3" max="3" width="26" customWidth="1"/>
    <col min="4" max="4" width="10" customWidth="1"/>
    <col min="5" max="5" width="13" customWidth="1"/>
    <col min="6" max="6" width="20" customWidth="1"/>
    <col min="7" max="7" width="14" customWidth="1"/>
    <col min="8" max="8" width="18" customWidth="1"/>
    <col min="9" max="10" width="12" customWidth="1"/>
    <col min="11" max="11" width="9" customWidth="1"/>
    <col min="12" max="12" width="11" customWidth="1"/>
    <col min="13" max="13" width="13" customWidth="1"/>
    <col min="14" max="14" width="14" customWidth="1"/>
    <col min="15" max="15" width="11" customWidth="1"/>
    <col min="16" max="16" width="8" customWidth="1"/>
    <col min="17" max="17" width="9" customWidth="1"/>
    <col min="18" max="20" width="7" customWidth="1"/>
    <col min="21" max="21" width="13" customWidth="1"/>
    <col min="22" max="22" width="14" customWidth="1"/>
    <col min="23" max="23" width="12" customWidth="1"/>
    <col min="24" max="25" width="18" customWidth="1"/>
    <col min="26" max="26" width="14" customWidth="1"/>
    <col min="27" max="27" width="15.33203125" customWidth="1"/>
    <col min="28" max="28" width="9" customWidth="1"/>
    <col min="29" max="29" width="10" customWidth="1"/>
    <col min="30" max="30" width="22" customWidth="1"/>
    <col min="31" max="31" width="12" customWidth="1"/>
    <col min="32" max="32" width="14" customWidth="1"/>
    <col min="33" max="33" width="18" customWidth="1"/>
    <col min="34" max="34" width="14" customWidth="1"/>
  </cols>
  <sheetData>
    <row r="1" spans="1:34" ht="30" customHeight="1" x14ac:dyDescent="0.3">
      <c r="A1" s="6" t="s">
        <v>433</v>
      </c>
      <c r="B1" s="6" t="s">
        <v>434</v>
      </c>
      <c r="C1" s="6" t="s">
        <v>435</v>
      </c>
      <c r="D1" s="6" t="s">
        <v>436</v>
      </c>
      <c r="E1" s="6" t="s">
        <v>437</v>
      </c>
      <c r="F1" s="6" t="s">
        <v>438</v>
      </c>
      <c r="G1" s="6" t="s">
        <v>439</v>
      </c>
      <c r="H1" s="6" t="s">
        <v>440</v>
      </c>
      <c r="I1" s="6" t="s">
        <v>441</v>
      </c>
      <c r="J1" s="6" t="s">
        <v>442</v>
      </c>
      <c r="K1" s="6" t="s">
        <v>443</v>
      </c>
      <c r="L1" s="6" t="s">
        <v>444</v>
      </c>
      <c r="M1" s="6" t="s">
        <v>445</v>
      </c>
      <c r="N1" s="6" t="s">
        <v>446</v>
      </c>
      <c r="O1" s="6" t="s">
        <v>447</v>
      </c>
      <c r="P1" s="6" t="s">
        <v>448</v>
      </c>
      <c r="Q1" s="6" t="s">
        <v>449</v>
      </c>
      <c r="R1" s="6" t="s">
        <v>450</v>
      </c>
      <c r="S1" s="6" t="s">
        <v>451</v>
      </c>
      <c r="T1" s="6" t="s">
        <v>452</v>
      </c>
      <c r="U1" s="6" t="s">
        <v>453</v>
      </c>
      <c r="V1" s="6" t="s">
        <v>454</v>
      </c>
      <c r="W1" s="6" t="s">
        <v>455</v>
      </c>
      <c r="X1" s="6" t="s">
        <v>456</v>
      </c>
      <c r="Y1" s="6" t="s">
        <v>457</v>
      </c>
      <c r="Z1" s="6" t="s">
        <v>458</v>
      </c>
      <c r="AA1" s="6" t="s">
        <v>459</v>
      </c>
      <c r="AB1" s="6" t="s">
        <v>460</v>
      </c>
      <c r="AC1" s="6" t="s">
        <v>461</v>
      </c>
      <c r="AD1" s="6" t="s">
        <v>462</v>
      </c>
      <c r="AE1" s="6" t="s">
        <v>463</v>
      </c>
      <c r="AF1" s="6" t="s">
        <v>464</v>
      </c>
      <c r="AG1" s="6" t="s">
        <v>465</v>
      </c>
      <c r="AH1" s="6" t="s">
        <v>466</v>
      </c>
    </row>
    <row r="2" spans="1:34" x14ac:dyDescent="0.3">
      <c r="A2" s="7" t="s">
        <v>467</v>
      </c>
      <c r="B2" s="7" t="s">
        <v>468</v>
      </c>
      <c r="C2" s="7" t="s">
        <v>19</v>
      </c>
      <c r="D2" s="7" t="s">
        <v>469</v>
      </c>
      <c r="E2" s="7" t="s">
        <v>470</v>
      </c>
      <c r="F2" s="7" t="s">
        <v>471</v>
      </c>
      <c r="G2" s="7" t="s">
        <v>472</v>
      </c>
      <c r="H2" s="7" t="s">
        <v>473</v>
      </c>
      <c r="I2" s="7">
        <v>14</v>
      </c>
      <c r="J2" s="7">
        <v>14</v>
      </c>
      <c r="K2" s="7">
        <v>1</v>
      </c>
      <c r="L2" s="7">
        <v>230</v>
      </c>
      <c r="M2" s="7">
        <v>15</v>
      </c>
      <c r="N2" s="7">
        <v>17.690000000000001</v>
      </c>
      <c r="O2" s="7">
        <v>104.85</v>
      </c>
      <c r="P2" s="7">
        <v>0</v>
      </c>
      <c r="Q2" s="7">
        <v>0</v>
      </c>
      <c r="R2" s="7">
        <v>19</v>
      </c>
      <c r="S2" s="7">
        <v>11</v>
      </c>
      <c r="T2" s="7">
        <v>3</v>
      </c>
      <c r="U2" s="7">
        <v>16</v>
      </c>
      <c r="V2" s="7">
        <v>29.63</v>
      </c>
      <c r="W2" s="7">
        <v>8.8800000000000008</v>
      </c>
      <c r="X2" s="7">
        <v>17.78</v>
      </c>
      <c r="Y2" s="7" t="s">
        <v>474</v>
      </c>
      <c r="Z2" s="7">
        <v>0</v>
      </c>
      <c r="AA2" s="7">
        <v>40</v>
      </c>
      <c r="AB2" s="7">
        <v>12</v>
      </c>
      <c r="AC2" s="7">
        <v>0</v>
      </c>
      <c r="AD2" s="7" t="s">
        <v>46</v>
      </c>
      <c r="AE2" s="3" t="s">
        <v>475</v>
      </c>
      <c r="AF2" s="7" t="s">
        <v>60</v>
      </c>
      <c r="AG2" s="7" t="s">
        <v>476</v>
      </c>
      <c r="AH2" s="7">
        <v>1.5</v>
      </c>
    </row>
    <row r="3" spans="1:34" x14ac:dyDescent="0.3">
      <c r="A3" s="4" t="s">
        <v>477</v>
      </c>
      <c r="B3" s="4" t="s">
        <v>478</v>
      </c>
      <c r="C3" s="4" t="s">
        <v>19</v>
      </c>
      <c r="D3" s="4" t="s">
        <v>469</v>
      </c>
      <c r="E3" s="4" t="s">
        <v>479</v>
      </c>
      <c r="F3" s="4" t="s">
        <v>471</v>
      </c>
      <c r="G3" s="4" t="s">
        <v>472</v>
      </c>
      <c r="H3" s="4" t="s">
        <v>480</v>
      </c>
      <c r="I3" s="4">
        <v>13</v>
      </c>
      <c r="J3" s="4">
        <v>11</v>
      </c>
      <c r="K3" s="4">
        <v>1</v>
      </c>
      <c r="L3" s="4">
        <v>68</v>
      </c>
      <c r="M3" s="4">
        <v>28</v>
      </c>
      <c r="N3" s="4">
        <v>6.8</v>
      </c>
      <c r="O3" s="4">
        <v>126</v>
      </c>
      <c r="P3" s="4">
        <v>0</v>
      </c>
      <c r="Q3" s="4">
        <v>0</v>
      </c>
      <c r="R3" s="4">
        <v>5</v>
      </c>
      <c r="S3" s="4">
        <v>3</v>
      </c>
      <c r="T3" s="4">
        <v>1</v>
      </c>
      <c r="U3" s="4">
        <v>15</v>
      </c>
      <c r="V3" s="4">
        <v>29.92</v>
      </c>
      <c r="W3" s="4">
        <v>10.27</v>
      </c>
      <c r="X3" s="4">
        <v>15.08</v>
      </c>
      <c r="Y3" s="4" t="s">
        <v>481</v>
      </c>
      <c r="Z3" s="4">
        <v>0</v>
      </c>
      <c r="AA3" s="4">
        <v>36.299999999999997</v>
      </c>
      <c r="AB3" s="4">
        <v>10</v>
      </c>
      <c r="AC3" s="4">
        <v>0</v>
      </c>
      <c r="AD3" s="4" t="s">
        <v>28</v>
      </c>
      <c r="AE3" s="3" t="s">
        <v>475</v>
      </c>
      <c r="AF3" s="4" t="s">
        <v>26</v>
      </c>
      <c r="AG3" s="4" t="s">
        <v>476</v>
      </c>
      <c r="AH3" s="4">
        <v>7.5</v>
      </c>
    </row>
    <row r="4" spans="1:34" x14ac:dyDescent="0.3">
      <c r="A4" s="7" t="s">
        <v>482</v>
      </c>
      <c r="B4" s="7" t="s">
        <v>77</v>
      </c>
      <c r="C4" s="7" t="s">
        <v>19</v>
      </c>
      <c r="D4" s="7" t="s">
        <v>469</v>
      </c>
      <c r="E4" s="7" t="s">
        <v>483</v>
      </c>
      <c r="F4" s="7" t="s">
        <v>484</v>
      </c>
      <c r="G4" s="7" t="s">
        <v>472</v>
      </c>
      <c r="H4" s="7" t="s">
        <v>473</v>
      </c>
      <c r="I4" s="7">
        <v>10</v>
      </c>
      <c r="J4" s="7">
        <v>8</v>
      </c>
      <c r="K4" s="7">
        <v>3</v>
      </c>
      <c r="L4" s="7">
        <v>116</v>
      </c>
      <c r="M4" s="7">
        <v>70</v>
      </c>
      <c r="N4" s="7">
        <v>23.2</v>
      </c>
      <c r="O4" s="7">
        <v>120</v>
      </c>
      <c r="P4" s="7">
        <v>0</v>
      </c>
      <c r="Q4" s="7">
        <v>0</v>
      </c>
      <c r="R4" s="7">
        <v>9</v>
      </c>
      <c r="S4" s="7">
        <v>11</v>
      </c>
      <c r="T4" s="7">
        <v>0</v>
      </c>
      <c r="U4" s="7">
        <v>12</v>
      </c>
      <c r="V4" s="7">
        <v>30.24</v>
      </c>
      <c r="W4" s="7">
        <v>6.71</v>
      </c>
      <c r="X4" s="7">
        <v>18.28</v>
      </c>
      <c r="Y4" s="7" t="s">
        <v>485</v>
      </c>
      <c r="Z4" s="7">
        <v>0</v>
      </c>
      <c r="AA4" s="7">
        <v>37.4</v>
      </c>
      <c r="AB4" s="7">
        <v>6</v>
      </c>
      <c r="AC4" s="7">
        <v>0</v>
      </c>
      <c r="AD4" s="7" t="s">
        <v>20</v>
      </c>
      <c r="AE4" s="8" t="s">
        <v>486</v>
      </c>
      <c r="AF4" s="7" t="s">
        <v>213</v>
      </c>
      <c r="AG4" s="7" t="s">
        <v>476</v>
      </c>
      <c r="AH4" s="7">
        <v>5</v>
      </c>
    </row>
    <row r="5" spans="1:34" x14ac:dyDescent="0.3">
      <c r="A5" s="4" t="s">
        <v>487</v>
      </c>
      <c r="B5" s="4" t="s">
        <v>488</v>
      </c>
      <c r="C5" s="4" t="s">
        <v>19</v>
      </c>
      <c r="D5" s="4" t="s">
        <v>469</v>
      </c>
      <c r="E5" s="4" t="s">
        <v>489</v>
      </c>
      <c r="F5" s="4" t="s">
        <v>490</v>
      </c>
      <c r="G5" s="4" t="s">
        <v>491</v>
      </c>
      <c r="H5" s="4" t="s">
        <v>492</v>
      </c>
      <c r="I5" s="4">
        <v>13</v>
      </c>
      <c r="J5" s="4">
        <v>11</v>
      </c>
      <c r="K5" s="4">
        <v>3</v>
      </c>
      <c r="L5" s="4">
        <v>368</v>
      </c>
      <c r="M5" s="4">
        <v>79</v>
      </c>
      <c r="N5" s="4">
        <v>46</v>
      </c>
      <c r="O5" s="4">
        <v>157.30000000000001</v>
      </c>
      <c r="P5" s="4">
        <v>0</v>
      </c>
      <c r="Q5" s="4">
        <v>0</v>
      </c>
      <c r="R5" s="4">
        <v>34</v>
      </c>
      <c r="S5" s="4">
        <v>21</v>
      </c>
      <c r="T5" s="4">
        <v>0</v>
      </c>
      <c r="U5" s="4">
        <v>0</v>
      </c>
      <c r="V5" s="4" t="s">
        <v>493</v>
      </c>
      <c r="W5" s="4" t="s">
        <v>493</v>
      </c>
      <c r="X5" s="4" t="s">
        <v>493</v>
      </c>
      <c r="Y5" s="4" t="s">
        <v>493</v>
      </c>
      <c r="Z5" s="4">
        <v>0</v>
      </c>
      <c r="AA5" s="4">
        <v>0</v>
      </c>
      <c r="AB5" s="4">
        <v>12</v>
      </c>
      <c r="AC5" s="4">
        <v>0</v>
      </c>
      <c r="AD5" s="4" t="s">
        <v>46</v>
      </c>
      <c r="AE5" s="8" t="s">
        <v>486</v>
      </c>
      <c r="AF5" s="4" t="s">
        <v>202</v>
      </c>
      <c r="AG5" s="4" t="s">
        <v>476</v>
      </c>
      <c r="AH5" s="4">
        <v>15</v>
      </c>
    </row>
    <row r="6" spans="1:34" x14ac:dyDescent="0.3">
      <c r="A6" s="7" t="s">
        <v>494</v>
      </c>
      <c r="B6" s="7" t="s">
        <v>495</v>
      </c>
      <c r="C6" s="7" t="s">
        <v>19</v>
      </c>
      <c r="D6" s="7" t="s">
        <v>469</v>
      </c>
      <c r="E6" s="7" t="s">
        <v>489</v>
      </c>
      <c r="F6" s="7" t="s">
        <v>490</v>
      </c>
      <c r="G6" s="7" t="s">
        <v>472</v>
      </c>
      <c r="H6" s="7" t="s">
        <v>492</v>
      </c>
      <c r="I6" s="7">
        <v>12</v>
      </c>
      <c r="J6" s="7">
        <v>12</v>
      </c>
      <c r="K6" s="7">
        <v>1</v>
      </c>
      <c r="L6" s="7">
        <v>582</v>
      </c>
      <c r="M6" s="7">
        <v>120</v>
      </c>
      <c r="N6" s="7">
        <v>52.91</v>
      </c>
      <c r="O6" s="7">
        <v>162.52000000000001</v>
      </c>
      <c r="P6" s="7">
        <v>1</v>
      </c>
      <c r="Q6" s="7">
        <v>0</v>
      </c>
      <c r="R6" s="7">
        <v>62</v>
      </c>
      <c r="S6" s="7">
        <v>42</v>
      </c>
      <c r="T6" s="7">
        <v>0</v>
      </c>
      <c r="U6" s="7">
        <v>0</v>
      </c>
      <c r="V6" s="7" t="s">
        <v>493</v>
      </c>
      <c r="W6" s="7" t="s">
        <v>493</v>
      </c>
      <c r="X6" s="7" t="s">
        <v>493</v>
      </c>
      <c r="Y6" s="7" t="s">
        <v>493</v>
      </c>
      <c r="Z6" s="7">
        <v>0</v>
      </c>
      <c r="AA6" s="7">
        <v>0</v>
      </c>
      <c r="AB6" s="7">
        <v>10</v>
      </c>
      <c r="AC6" s="7">
        <v>0</v>
      </c>
      <c r="AD6" s="7" t="s">
        <v>142</v>
      </c>
      <c r="AE6" s="8" t="s">
        <v>486</v>
      </c>
      <c r="AF6" s="7" t="s">
        <v>337</v>
      </c>
      <c r="AG6" s="7" t="s">
        <v>476</v>
      </c>
      <c r="AH6" s="7">
        <v>10</v>
      </c>
    </row>
    <row r="7" spans="1:34" x14ac:dyDescent="0.3">
      <c r="A7" s="4" t="s">
        <v>496</v>
      </c>
      <c r="B7" s="4" t="s">
        <v>497</v>
      </c>
      <c r="C7" s="4" t="s">
        <v>19</v>
      </c>
      <c r="D7" s="4" t="s">
        <v>469</v>
      </c>
      <c r="E7" s="4" t="s">
        <v>483</v>
      </c>
      <c r="F7" s="4" t="s">
        <v>490</v>
      </c>
      <c r="G7" s="4" t="s">
        <v>491</v>
      </c>
      <c r="H7" s="4" t="s">
        <v>492</v>
      </c>
      <c r="I7" s="4">
        <v>9</v>
      </c>
      <c r="J7" s="4">
        <v>9</v>
      </c>
      <c r="K7" s="4">
        <v>3</v>
      </c>
      <c r="L7" s="4">
        <v>144</v>
      </c>
      <c r="M7" s="4">
        <v>57</v>
      </c>
      <c r="N7" s="4">
        <v>24</v>
      </c>
      <c r="O7" s="4">
        <v>183.79</v>
      </c>
      <c r="P7" s="4">
        <v>0</v>
      </c>
      <c r="Q7" s="4">
        <v>0</v>
      </c>
      <c r="R7" s="4">
        <v>12</v>
      </c>
      <c r="S7" s="4">
        <v>9</v>
      </c>
      <c r="T7" s="4">
        <v>0</v>
      </c>
      <c r="U7" s="4">
        <v>0</v>
      </c>
      <c r="V7" s="4" t="s">
        <v>493</v>
      </c>
      <c r="W7" s="4" t="s">
        <v>493</v>
      </c>
      <c r="X7" s="4" t="s">
        <v>493</v>
      </c>
      <c r="Y7" s="4" t="s">
        <v>493</v>
      </c>
      <c r="Z7" s="4">
        <v>0</v>
      </c>
      <c r="AA7" s="4">
        <v>0</v>
      </c>
      <c r="AB7" s="4">
        <v>4</v>
      </c>
      <c r="AC7" s="4">
        <v>0</v>
      </c>
      <c r="AD7" s="4" t="s">
        <v>20</v>
      </c>
      <c r="AE7" s="8" t="s">
        <v>486</v>
      </c>
      <c r="AF7" s="4" t="s">
        <v>213</v>
      </c>
      <c r="AG7" s="4" t="s">
        <v>476</v>
      </c>
      <c r="AH7" s="4">
        <v>21</v>
      </c>
    </row>
    <row r="8" spans="1:34" x14ac:dyDescent="0.3">
      <c r="A8" s="7" t="s">
        <v>498</v>
      </c>
      <c r="B8" s="7" t="s">
        <v>499</v>
      </c>
      <c r="C8" s="7" t="s">
        <v>19</v>
      </c>
      <c r="D8" s="7" t="s">
        <v>469</v>
      </c>
      <c r="E8" s="7" t="s">
        <v>489</v>
      </c>
      <c r="F8" s="7" t="s">
        <v>471</v>
      </c>
      <c r="G8" s="7" t="s">
        <v>472</v>
      </c>
      <c r="H8" s="7" t="s">
        <v>500</v>
      </c>
      <c r="I8" s="7">
        <v>9</v>
      </c>
      <c r="J8" s="7">
        <v>7</v>
      </c>
      <c r="K8" s="7">
        <v>0</v>
      </c>
      <c r="L8" s="7">
        <v>210</v>
      </c>
      <c r="M8" s="7">
        <v>26</v>
      </c>
      <c r="N8" s="7">
        <v>30</v>
      </c>
      <c r="O8" s="7">
        <v>107.06</v>
      </c>
      <c r="P8" s="7">
        <v>0</v>
      </c>
      <c r="Q8" s="7">
        <v>0</v>
      </c>
      <c r="R8" s="7">
        <v>17</v>
      </c>
      <c r="S8" s="7">
        <v>10</v>
      </c>
      <c r="T8" s="7">
        <v>2</v>
      </c>
      <c r="U8" s="7">
        <v>20</v>
      </c>
      <c r="V8" s="7">
        <v>22.15</v>
      </c>
      <c r="W8" s="7">
        <v>7.7</v>
      </c>
      <c r="X8" s="7">
        <v>14.58</v>
      </c>
      <c r="Y8" s="7" t="s">
        <v>501</v>
      </c>
      <c r="Z8" s="7">
        <v>1</v>
      </c>
      <c r="AA8" s="7">
        <v>29.5</v>
      </c>
      <c r="AB8" s="7">
        <v>6</v>
      </c>
      <c r="AC8" s="7">
        <v>0</v>
      </c>
      <c r="AD8" s="7" t="s">
        <v>38</v>
      </c>
      <c r="AE8" s="8" t="s">
        <v>486</v>
      </c>
      <c r="AF8" s="7" t="s">
        <v>377</v>
      </c>
      <c r="AG8" s="7" t="s">
        <v>502</v>
      </c>
      <c r="AH8" s="7">
        <v>0.5</v>
      </c>
    </row>
    <row r="9" spans="1:34" x14ac:dyDescent="0.3">
      <c r="A9" s="4" t="s">
        <v>503</v>
      </c>
      <c r="B9" s="4" t="s">
        <v>504</v>
      </c>
      <c r="C9" s="4" t="s">
        <v>19</v>
      </c>
      <c r="D9" s="4" t="s">
        <v>469</v>
      </c>
      <c r="E9" s="4" t="s">
        <v>483</v>
      </c>
      <c r="F9" s="4" t="s">
        <v>505</v>
      </c>
      <c r="G9" s="4" t="s">
        <v>472</v>
      </c>
      <c r="H9" s="4" t="s">
        <v>492</v>
      </c>
      <c r="I9" s="4">
        <v>8</v>
      </c>
      <c r="J9" s="4">
        <v>6</v>
      </c>
      <c r="K9" s="4">
        <v>3</v>
      </c>
      <c r="L9" s="4">
        <v>66</v>
      </c>
      <c r="M9" s="4">
        <v>66</v>
      </c>
      <c r="N9" s="4">
        <v>22</v>
      </c>
      <c r="O9" s="4">
        <v>169.01</v>
      </c>
      <c r="P9" s="4">
        <v>0</v>
      </c>
      <c r="Q9" s="4">
        <v>0</v>
      </c>
      <c r="R9" s="4">
        <v>9</v>
      </c>
      <c r="S9" s="4">
        <v>2</v>
      </c>
      <c r="T9" s="4">
        <v>0</v>
      </c>
      <c r="U9" s="4">
        <v>0</v>
      </c>
      <c r="V9" s="4" t="s">
        <v>493</v>
      </c>
      <c r="W9" s="4" t="s">
        <v>493</v>
      </c>
      <c r="X9" s="4" t="s">
        <v>493</v>
      </c>
      <c r="Y9" s="4" t="s">
        <v>493</v>
      </c>
      <c r="Z9" s="4">
        <v>0</v>
      </c>
      <c r="AA9" s="4">
        <v>0</v>
      </c>
      <c r="AB9" s="4">
        <v>5</v>
      </c>
      <c r="AC9" s="4">
        <v>2</v>
      </c>
      <c r="AD9" s="4" t="s">
        <v>46</v>
      </c>
      <c r="AE9" s="8" t="s">
        <v>486</v>
      </c>
      <c r="AF9" s="4" t="s">
        <v>202</v>
      </c>
      <c r="AG9" s="4" t="s">
        <v>476</v>
      </c>
      <c r="AH9" s="4">
        <v>0.2</v>
      </c>
    </row>
    <row r="10" spans="1:34" x14ac:dyDescent="0.3">
      <c r="A10" s="7" t="s">
        <v>506</v>
      </c>
      <c r="B10" s="7" t="s">
        <v>507</v>
      </c>
      <c r="C10" s="7" t="s">
        <v>19</v>
      </c>
      <c r="D10" s="7" t="s">
        <v>469</v>
      </c>
      <c r="E10" s="7" t="s">
        <v>479</v>
      </c>
      <c r="F10" s="7" t="s">
        <v>490</v>
      </c>
      <c r="G10" s="7" t="s">
        <v>472</v>
      </c>
      <c r="H10" s="7" t="s">
        <v>492</v>
      </c>
      <c r="I10" s="7">
        <v>8</v>
      </c>
      <c r="J10" s="7">
        <v>8</v>
      </c>
      <c r="K10" s="7">
        <v>3</v>
      </c>
      <c r="L10" s="7">
        <v>170</v>
      </c>
      <c r="M10" s="7">
        <v>56</v>
      </c>
      <c r="N10" s="7">
        <v>34</v>
      </c>
      <c r="O10" s="7">
        <v>174.15</v>
      </c>
      <c r="P10" s="7">
        <v>0</v>
      </c>
      <c r="Q10" s="7">
        <v>0</v>
      </c>
      <c r="R10" s="7">
        <v>20</v>
      </c>
      <c r="S10" s="7">
        <v>20</v>
      </c>
      <c r="T10" s="7">
        <v>0</v>
      </c>
      <c r="U10" s="7">
        <v>0</v>
      </c>
      <c r="V10" s="7" t="s">
        <v>493</v>
      </c>
      <c r="W10" s="7" t="s">
        <v>493</v>
      </c>
      <c r="X10" s="7" t="s">
        <v>493</v>
      </c>
      <c r="Y10" s="7" t="s">
        <v>493</v>
      </c>
      <c r="Z10" s="7">
        <v>0</v>
      </c>
      <c r="AA10" s="7">
        <v>0</v>
      </c>
      <c r="AB10" s="7">
        <v>8</v>
      </c>
      <c r="AC10" s="7">
        <v>0</v>
      </c>
      <c r="AD10" s="7" t="s">
        <v>20</v>
      </c>
      <c r="AE10" s="3" t="s">
        <v>475</v>
      </c>
      <c r="AF10" s="7" t="s">
        <v>15</v>
      </c>
      <c r="AG10" s="7" t="s">
        <v>476</v>
      </c>
      <c r="AH10" s="7">
        <v>6</v>
      </c>
    </row>
    <row r="11" spans="1:34" x14ac:dyDescent="0.3">
      <c r="A11" s="4" t="s">
        <v>508</v>
      </c>
      <c r="B11" s="4" t="s">
        <v>33</v>
      </c>
      <c r="C11" s="4" t="s">
        <v>19</v>
      </c>
      <c r="D11" s="4" t="s">
        <v>469</v>
      </c>
      <c r="E11" s="4" t="s">
        <v>483</v>
      </c>
      <c r="F11" s="4" t="s">
        <v>484</v>
      </c>
      <c r="G11" s="4" t="s">
        <v>472</v>
      </c>
      <c r="H11" s="4" t="s">
        <v>509</v>
      </c>
      <c r="I11" s="4">
        <v>10</v>
      </c>
      <c r="J11" s="4">
        <v>8</v>
      </c>
      <c r="K11" s="4">
        <v>1</v>
      </c>
      <c r="L11" s="4">
        <v>351</v>
      </c>
      <c r="M11" s="4">
        <v>102</v>
      </c>
      <c r="N11" s="4">
        <v>50.14</v>
      </c>
      <c r="O11" s="4">
        <v>143.21</v>
      </c>
      <c r="P11" s="4">
        <v>0</v>
      </c>
      <c r="Q11" s="4">
        <v>0</v>
      </c>
      <c r="R11" s="4">
        <v>31</v>
      </c>
      <c r="S11" s="4">
        <v>22</v>
      </c>
      <c r="T11" s="4">
        <v>0</v>
      </c>
      <c r="U11" s="4">
        <v>16</v>
      </c>
      <c r="V11" s="4">
        <v>19.25</v>
      </c>
      <c r="W11" s="4">
        <v>7.76</v>
      </c>
      <c r="X11" s="4">
        <v>15.76</v>
      </c>
      <c r="Y11" s="4" t="s">
        <v>510</v>
      </c>
      <c r="Z11" s="4">
        <v>0</v>
      </c>
      <c r="AA11" s="4">
        <v>29.7</v>
      </c>
      <c r="AB11" s="4">
        <v>10</v>
      </c>
      <c r="AC11" s="4">
        <v>0</v>
      </c>
      <c r="AD11" s="4" t="s">
        <v>55</v>
      </c>
      <c r="AE11" s="3" t="s">
        <v>475</v>
      </c>
      <c r="AF11" s="4" t="s">
        <v>333</v>
      </c>
      <c r="AG11" s="4" t="s">
        <v>476</v>
      </c>
      <c r="AH11" s="4">
        <v>0.5</v>
      </c>
    </row>
    <row r="12" spans="1:34" x14ac:dyDescent="0.3">
      <c r="A12" s="7" t="s">
        <v>511</v>
      </c>
      <c r="B12" s="7" t="s">
        <v>263</v>
      </c>
      <c r="C12" s="7" t="s">
        <v>19</v>
      </c>
      <c r="D12" s="7" t="s">
        <v>469</v>
      </c>
      <c r="E12" s="7" t="s">
        <v>483</v>
      </c>
      <c r="F12" s="7" t="s">
        <v>490</v>
      </c>
      <c r="G12" s="7" t="s">
        <v>491</v>
      </c>
      <c r="H12" s="7" t="s">
        <v>492</v>
      </c>
      <c r="I12" s="7">
        <v>14</v>
      </c>
      <c r="J12" s="7">
        <v>12</v>
      </c>
      <c r="K12" s="7">
        <v>3</v>
      </c>
      <c r="L12" s="7">
        <v>356</v>
      </c>
      <c r="M12" s="7">
        <v>78</v>
      </c>
      <c r="N12" s="7">
        <v>39.56</v>
      </c>
      <c r="O12" s="7">
        <v>158.02000000000001</v>
      </c>
      <c r="P12" s="7">
        <v>0</v>
      </c>
      <c r="Q12" s="7">
        <v>0</v>
      </c>
      <c r="R12" s="7">
        <v>47</v>
      </c>
      <c r="S12" s="7">
        <v>21</v>
      </c>
      <c r="T12" s="7">
        <v>0</v>
      </c>
      <c r="U12" s="7">
        <v>0</v>
      </c>
      <c r="V12" s="7" t="s">
        <v>493</v>
      </c>
      <c r="W12" s="7" t="s">
        <v>493</v>
      </c>
      <c r="X12" s="7" t="s">
        <v>493</v>
      </c>
      <c r="Y12" s="7" t="s">
        <v>493</v>
      </c>
      <c r="Z12" s="7">
        <v>0</v>
      </c>
      <c r="AA12" s="7">
        <v>0</v>
      </c>
      <c r="AB12" s="7">
        <v>13</v>
      </c>
      <c r="AC12" s="7">
        <v>0</v>
      </c>
      <c r="AD12" s="7" t="s">
        <v>55</v>
      </c>
      <c r="AE12" s="3" t="s">
        <v>475</v>
      </c>
      <c r="AF12" s="7" t="s">
        <v>333</v>
      </c>
      <c r="AG12" s="7" t="s">
        <v>476</v>
      </c>
      <c r="AH12" s="7">
        <v>3</v>
      </c>
    </row>
    <row r="13" spans="1:34" x14ac:dyDescent="0.3">
      <c r="A13" s="4" t="s">
        <v>512</v>
      </c>
      <c r="B13" s="4" t="s">
        <v>513</v>
      </c>
      <c r="C13" s="4" t="s">
        <v>19</v>
      </c>
      <c r="D13" s="4" t="s">
        <v>469</v>
      </c>
      <c r="E13" s="4" t="s">
        <v>483</v>
      </c>
      <c r="F13" s="4" t="s">
        <v>484</v>
      </c>
      <c r="G13" s="4" t="s">
        <v>472</v>
      </c>
      <c r="H13" s="4" t="s">
        <v>514</v>
      </c>
      <c r="I13" s="4">
        <v>13</v>
      </c>
      <c r="J13" s="4">
        <v>11</v>
      </c>
      <c r="K13" s="4">
        <v>3</v>
      </c>
      <c r="L13" s="4">
        <v>386</v>
      </c>
      <c r="M13" s="4">
        <v>39</v>
      </c>
      <c r="N13" s="4">
        <v>48.25</v>
      </c>
      <c r="O13" s="4">
        <v>121.21</v>
      </c>
      <c r="P13" s="4">
        <v>0</v>
      </c>
      <c r="Q13" s="4">
        <v>0</v>
      </c>
      <c r="R13" s="4">
        <v>45</v>
      </c>
      <c r="S13" s="4">
        <v>23</v>
      </c>
      <c r="T13" s="4">
        <v>0</v>
      </c>
      <c r="U13" s="4">
        <v>19</v>
      </c>
      <c r="V13" s="4">
        <v>26.58</v>
      </c>
      <c r="W13" s="4">
        <v>8.57</v>
      </c>
      <c r="X13" s="4">
        <v>18.95</v>
      </c>
      <c r="Y13" s="4" t="s">
        <v>485</v>
      </c>
      <c r="Z13" s="4">
        <v>0</v>
      </c>
      <c r="AA13" s="4">
        <v>47.6</v>
      </c>
      <c r="AB13" s="4">
        <v>6</v>
      </c>
      <c r="AC13" s="4">
        <v>0</v>
      </c>
      <c r="AD13" s="4" t="s">
        <v>37</v>
      </c>
      <c r="AE13" s="3" t="s">
        <v>475</v>
      </c>
      <c r="AF13" s="4" t="s">
        <v>259</v>
      </c>
      <c r="AG13" s="4" t="s">
        <v>476</v>
      </c>
      <c r="AH13" s="4">
        <v>0.75</v>
      </c>
    </row>
    <row r="14" spans="1:34" x14ac:dyDescent="0.3">
      <c r="A14" s="7" t="s">
        <v>515</v>
      </c>
      <c r="B14" s="7" t="s">
        <v>25</v>
      </c>
      <c r="C14" s="7" t="s">
        <v>19</v>
      </c>
      <c r="D14" s="7" t="s">
        <v>469</v>
      </c>
      <c r="E14" s="7" t="s">
        <v>483</v>
      </c>
      <c r="F14" s="7" t="s">
        <v>471</v>
      </c>
      <c r="G14" s="7" t="s">
        <v>472</v>
      </c>
      <c r="H14" s="7" t="s">
        <v>516</v>
      </c>
      <c r="I14" s="7">
        <v>11</v>
      </c>
      <c r="J14" s="7">
        <v>9</v>
      </c>
      <c r="K14" s="7">
        <v>1</v>
      </c>
      <c r="L14" s="7">
        <v>260</v>
      </c>
      <c r="M14" s="7">
        <v>5</v>
      </c>
      <c r="N14" s="7">
        <v>32.5</v>
      </c>
      <c r="O14" s="7">
        <v>116.16</v>
      </c>
      <c r="P14" s="7">
        <v>0</v>
      </c>
      <c r="Q14" s="7">
        <v>0</v>
      </c>
      <c r="R14" s="7">
        <v>21</v>
      </c>
      <c r="S14" s="7">
        <v>13</v>
      </c>
      <c r="T14" s="7">
        <v>2</v>
      </c>
      <c r="U14" s="7">
        <v>17</v>
      </c>
      <c r="V14" s="7">
        <v>23.84</v>
      </c>
      <c r="W14" s="7">
        <v>10.19</v>
      </c>
      <c r="X14" s="7">
        <v>19.34</v>
      </c>
      <c r="Y14" s="7" t="s">
        <v>517</v>
      </c>
      <c r="Z14" s="7">
        <v>0</v>
      </c>
      <c r="AA14" s="7">
        <v>35</v>
      </c>
      <c r="AB14" s="7">
        <v>9</v>
      </c>
      <c r="AC14" s="7">
        <v>0</v>
      </c>
      <c r="AD14" s="7" t="s">
        <v>28</v>
      </c>
      <c r="AE14" s="8" t="s">
        <v>486</v>
      </c>
      <c r="AF14" s="7" t="s">
        <v>72</v>
      </c>
      <c r="AG14" s="7" t="s">
        <v>476</v>
      </c>
      <c r="AH14" s="7">
        <v>0.2</v>
      </c>
    </row>
    <row r="15" spans="1:34" x14ac:dyDescent="0.3">
      <c r="A15" s="4" t="s">
        <v>518</v>
      </c>
      <c r="B15" s="4" t="s">
        <v>351</v>
      </c>
      <c r="C15" s="4" t="s">
        <v>19</v>
      </c>
      <c r="D15" s="4" t="s">
        <v>469</v>
      </c>
      <c r="E15" s="4" t="s">
        <v>483</v>
      </c>
      <c r="F15" s="4" t="s">
        <v>505</v>
      </c>
      <c r="G15" s="4" t="s">
        <v>491</v>
      </c>
      <c r="H15" s="4" t="s">
        <v>492</v>
      </c>
      <c r="I15" s="4">
        <v>11</v>
      </c>
      <c r="J15" s="4">
        <v>9</v>
      </c>
      <c r="K15" s="4">
        <v>1</v>
      </c>
      <c r="L15" s="4">
        <v>174</v>
      </c>
      <c r="M15" s="4">
        <v>48</v>
      </c>
      <c r="N15" s="4">
        <v>21.75</v>
      </c>
      <c r="O15" s="4">
        <v>176.45</v>
      </c>
      <c r="P15" s="4">
        <v>0</v>
      </c>
      <c r="Q15" s="4">
        <v>0</v>
      </c>
      <c r="R15" s="4">
        <v>16</v>
      </c>
      <c r="S15" s="4">
        <v>19</v>
      </c>
      <c r="T15" s="4">
        <v>0</v>
      </c>
      <c r="U15" s="4">
        <v>0</v>
      </c>
      <c r="V15" s="4" t="s">
        <v>493</v>
      </c>
      <c r="W15" s="4" t="s">
        <v>493</v>
      </c>
      <c r="X15" s="4" t="s">
        <v>493</v>
      </c>
      <c r="Y15" s="4" t="s">
        <v>493</v>
      </c>
      <c r="Z15" s="4">
        <v>0</v>
      </c>
      <c r="AA15" s="4">
        <v>0</v>
      </c>
      <c r="AB15" s="4">
        <v>9</v>
      </c>
      <c r="AC15" s="4">
        <v>2</v>
      </c>
      <c r="AD15" s="4" t="s">
        <v>37</v>
      </c>
      <c r="AE15" s="3" t="s">
        <v>475</v>
      </c>
      <c r="AF15" s="4" t="s">
        <v>347</v>
      </c>
      <c r="AG15" s="4" t="s">
        <v>476</v>
      </c>
      <c r="AH15" s="4">
        <v>15</v>
      </c>
    </row>
    <row r="16" spans="1:34" x14ac:dyDescent="0.3">
      <c r="A16" s="7" t="s">
        <v>519</v>
      </c>
      <c r="B16" s="7" t="s">
        <v>65</v>
      </c>
      <c r="C16" s="7" t="s">
        <v>19</v>
      </c>
      <c r="D16" s="7" t="s">
        <v>469</v>
      </c>
      <c r="E16" s="7" t="s">
        <v>483</v>
      </c>
      <c r="F16" s="7" t="s">
        <v>471</v>
      </c>
      <c r="G16" s="7" t="s">
        <v>491</v>
      </c>
      <c r="H16" s="7" t="s">
        <v>480</v>
      </c>
      <c r="I16" s="7">
        <v>10</v>
      </c>
      <c r="J16" s="7">
        <v>9</v>
      </c>
      <c r="K16" s="7">
        <v>3</v>
      </c>
      <c r="L16" s="7">
        <v>258</v>
      </c>
      <c r="M16" s="7">
        <v>14</v>
      </c>
      <c r="N16" s="7">
        <v>43</v>
      </c>
      <c r="O16" s="7">
        <v>103.33</v>
      </c>
      <c r="P16" s="7">
        <v>0</v>
      </c>
      <c r="Q16" s="7">
        <v>0</v>
      </c>
      <c r="R16" s="7">
        <v>21</v>
      </c>
      <c r="S16" s="7">
        <v>12</v>
      </c>
      <c r="T16" s="7">
        <v>2</v>
      </c>
      <c r="U16" s="7">
        <v>14</v>
      </c>
      <c r="V16" s="7">
        <v>21.07</v>
      </c>
      <c r="W16" s="7">
        <v>9.99</v>
      </c>
      <c r="X16" s="7">
        <v>14.76</v>
      </c>
      <c r="Y16" s="7" t="s">
        <v>520</v>
      </c>
      <c r="Z16" s="7">
        <v>0</v>
      </c>
      <c r="AA16" s="7">
        <v>35.799999999999997</v>
      </c>
      <c r="AB16" s="7">
        <v>2</v>
      </c>
      <c r="AC16" s="7">
        <v>0</v>
      </c>
      <c r="AD16" s="7" t="s">
        <v>28</v>
      </c>
      <c r="AE16" s="3" t="s">
        <v>475</v>
      </c>
      <c r="AF16" s="7" t="s">
        <v>26</v>
      </c>
      <c r="AG16" s="7" t="s">
        <v>502</v>
      </c>
      <c r="AH16" s="7">
        <v>2</v>
      </c>
    </row>
    <row r="17" spans="1:34" x14ac:dyDescent="0.3">
      <c r="A17" s="4" t="s">
        <v>521</v>
      </c>
      <c r="B17" s="4" t="s">
        <v>522</v>
      </c>
      <c r="C17" s="4" t="s">
        <v>20</v>
      </c>
      <c r="D17" s="4" t="s">
        <v>523</v>
      </c>
      <c r="E17" s="4" t="s">
        <v>470</v>
      </c>
      <c r="F17" s="4" t="s">
        <v>490</v>
      </c>
      <c r="G17" s="4" t="s">
        <v>472</v>
      </c>
      <c r="H17" s="4" t="s">
        <v>492</v>
      </c>
      <c r="I17" s="4">
        <v>9</v>
      </c>
      <c r="J17" s="4">
        <v>7</v>
      </c>
      <c r="K17" s="4">
        <v>2</v>
      </c>
      <c r="L17" s="4">
        <v>144</v>
      </c>
      <c r="M17" s="4">
        <v>91</v>
      </c>
      <c r="N17" s="4">
        <v>28.8</v>
      </c>
      <c r="O17" s="4">
        <v>149.19999999999999</v>
      </c>
      <c r="P17" s="4">
        <v>0</v>
      </c>
      <c r="Q17" s="4">
        <v>0</v>
      </c>
      <c r="R17" s="4">
        <v>18</v>
      </c>
      <c r="S17" s="4">
        <v>8</v>
      </c>
      <c r="T17" s="4">
        <v>0</v>
      </c>
      <c r="U17" s="4">
        <v>0</v>
      </c>
      <c r="V17" s="4" t="s">
        <v>493</v>
      </c>
      <c r="W17" s="4" t="s">
        <v>493</v>
      </c>
      <c r="X17" s="4" t="s">
        <v>493</v>
      </c>
      <c r="Y17" s="4" t="s">
        <v>493</v>
      </c>
      <c r="Z17" s="4">
        <v>0</v>
      </c>
      <c r="AA17" s="4">
        <v>0</v>
      </c>
      <c r="AB17" s="4">
        <v>2</v>
      </c>
      <c r="AC17" s="4">
        <v>0</v>
      </c>
      <c r="AD17" s="4" t="s">
        <v>28</v>
      </c>
      <c r="AE17" s="8" t="s">
        <v>486</v>
      </c>
      <c r="AF17" s="4" t="s">
        <v>372</v>
      </c>
      <c r="AG17" s="4" t="s">
        <v>476</v>
      </c>
      <c r="AH17" s="4">
        <v>0.5</v>
      </c>
    </row>
    <row r="18" spans="1:34" x14ac:dyDescent="0.3">
      <c r="A18" s="7" t="s">
        <v>524</v>
      </c>
      <c r="B18" s="7" t="s">
        <v>525</v>
      </c>
      <c r="C18" s="7" t="s">
        <v>20</v>
      </c>
      <c r="D18" s="7" t="s">
        <v>523</v>
      </c>
      <c r="E18" s="7" t="s">
        <v>483</v>
      </c>
      <c r="F18" s="7" t="s">
        <v>490</v>
      </c>
      <c r="G18" s="7" t="s">
        <v>491</v>
      </c>
      <c r="H18" s="7" t="s">
        <v>492</v>
      </c>
      <c r="I18" s="7">
        <v>10</v>
      </c>
      <c r="J18" s="7">
        <v>10</v>
      </c>
      <c r="K18" s="7">
        <v>2</v>
      </c>
      <c r="L18" s="7">
        <v>234</v>
      </c>
      <c r="M18" s="7">
        <v>95</v>
      </c>
      <c r="N18" s="7">
        <v>29.25</v>
      </c>
      <c r="O18" s="7">
        <v>119.12</v>
      </c>
      <c r="P18" s="7">
        <v>0</v>
      </c>
      <c r="Q18" s="7">
        <v>0</v>
      </c>
      <c r="R18" s="7">
        <v>23</v>
      </c>
      <c r="S18" s="7">
        <v>26</v>
      </c>
      <c r="T18" s="7">
        <v>0</v>
      </c>
      <c r="U18" s="7">
        <v>0</v>
      </c>
      <c r="V18" s="7" t="s">
        <v>493</v>
      </c>
      <c r="W18" s="7" t="s">
        <v>493</v>
      </c>
      <c r="X18" s="7" t="s">
        <v>493</v>
      </c>
      <c r="Y18" s="7" t="s">
        <v>493</v>
      </c>
      <c r="Z18" s="7">
        <v>0</v>
      </c>
      <c r="AA18" s="7">
        <v>0</v>
      </c>
      <c r="AB18" s="7">
        <v>10</v>
      </c>
      <c r="AC18" s="7">
        <v>0</v>
      </c>
      <c r="AD18" s="7" t="s">
        <v>81</v>
      </c>
      <c r="AE18" s="3" t="s">
        <v>475</v>
      </c>
      <c r="AF18" s="7" t="s">
        <v>289</v>
      </c>
      <c r="AG18" s="7" t="s">
        <v>502</v>
      </c>
      <c r="AH18" s="7">
        <v>0.4</v>
      </c>
    </row>
    <row r="19" spans="1:34" x14ac:dyDescent="0.3">
      <c r="A19" s="4" t="s">
        <v>526</v>
      </c>
      <c r="B19" s="4" t="s">
        <v>164</v>
      </c>
      <c r="C19" s="4" t="s">
        <v>20</v>
      </c>
      <c r="D19" s="4" t="s">
        <v>523</v>
      </c>
      <c r="E19" s="4" t="s">
        <v>479</v>
      </c>
      <c r="F19" s="4" t="s">
        <v>484</v>
      </c>
      <c r="G19" s="4" t="s">
        <v>491</v>
      </c>
      <c r="H19" s="4" t="s">
        <v>473</v>
      </c>
      <c r="I19" s="4">
        <v>9</v>
      </c>
      <c r="J19" s="4">
        <v>7</v>
      </c>
      <c r="K19" s="4">
        <v>1</v>
      </c>
      <c r="L19" s="4">
        <v>124</v>
      </c>
      <c r="M19" s="4">
        <v>76</v>
      </c>
      <c r="N19" s="4">
        <v>20.67</v>
      </c>
      <c r="O19" s="4">
        <v>122.36</v>
      </c>
      <c r="P19" s="4">
        <v>0</v>
      </c>
      <c r="Q19" s="4">
        <v>0</v>
      </c>
      <c r="R19" s="4">
        <v>12</v>
      </c>
      <c r="S19" s="4">
        <v>7</v>
      </c>
      <c r="T19" s="4">
        <v>0</v>
      </c>
      <c r="U19" s="4">
        <v>10</v>
      </c>
      <c r="V19" s="4">
        <v>17.79</v>
      </c>
      <c r="W19" s="4">
        <v>8.09</v>
      </c>
      <c r="X19" s="4">
        <v>15.26</v>
      </c>
      <c r="Y19" s="4" t="s">
        <v>527</v>
      </c>
      <c r="Z19" s="4">
        <v>0</v>
      </c>
      <c r="AA19" s="4">
        <v>26.9</v>
      </c>
      <c r="AB19" s="4">
        <v>2</v>
      </c>
      <c r="AC19" s="4">
        <v>0</v>
      </c>
      <c r="AD19" s="4" t="s">
        <v>38</v>
      </c>
      <c r="AE19" s="8" t="s">
        <v>486</v>
      </c>
      <c r="AF19" s="4" t="s">
        <v>406</v>
      </c>
      <c r="AG19" s="4" t="s">
        <v>476</v>
      </c>
      <c r="AH19" s="4">
        <v>6</v>
      </c>
    </row>
    <row r="20" spans="1:34" x14ac:dyDescent="0.3">
      <c r="A20" s="7" t="s">
        <v>528</v>
      </c>
      <c r="B20" s="7" t="s">
        <v>252</v>
      </c>
      <c r="C20" s="7" t="s">
        <v>20</v>
      </c>
      <c r="D20" s="7" t="s">
        <v>523</v>
      </c>
      <c r="E20" s="7" t="s">
        <v>483</v>
      </c>
      <c r="F20" s="7" t="s">
        <v>471</v>
      </c>
      <c r="G20" s="7" t="s">
        <v>472</v>
      </c>
      <c r="H20" s="7" t="s">
        <v>509</v>
      </c>
      <c r="I20" s="7">
        <v>14</v>
      </c>
      <c r="J20" s="7">
        <v>14</v>
      </c>
      <c r="K20" s="7">
        <v>2</v>
      </c>
      <c r="L20" s="7">
        <v>293</v>
      </c>
      <c r="M20" s="7">
        <v>8</v>
      </c>
      <c r="N20" s="7">
        <v>24.42</v>
      </c>
      <c r="O20" s="7">
        <v>106.17</v>
      </c>
      <c r="P20" s="7">
        <v>0</v>
      </c>
      <c r="Q20" s="7">
        <v>0</v>
      </c>
      <c r="R20" s="7">
        <v>24</v>
      </c>
      <c r="S20" s="7">
        <v>14</v>
      </c>
      <c r="T20" s="7">
        <v>0</v>
      </c>
      <c r="U20" s="7">
        <v>18</v>
      </c>
      <c r="V20" s="7">
        <v>14.73</v>
      </c>
      <c r="W20" s="7">
        <v>6.84</v>
      </c>
      <c r="X20" s="7">
        <v>13.41</v>
      </c>
      <c r="Y20" s="7" t="s">
        <v>529</v>
      </c>
      <c r="Z20" s="7">
        <v>0</v>
      </c>
      <c r="AA20" s="7">
        <v>36.200000000000003</v>
      </c>
      <c r="AB20" s="7">
        <v>13</v>
      </c>
      <c r="AC20" s="7">
        <v>0</v>
      </c>
      <c r="AD20" s="7" t="s">
        <v>28</v>
      </c>
      <c r="AE20" s="8" t="s">
        <v>486</v>
      </c>
      <c r="AF20" s="7" t="s">
        <v>372</v>
      </c>
      <c r="AG20" s="7" t="s">
        <v>476</v>
      </c>
      <c r="AH20" s="7">
        <v>0.5</v>
      </c>
    </row>
    <row r="21" spans="1:34" x14ac:dyDescent="0.3">
      <c r="A21" s="4" t="s">
        <v>530</v>
      </c>
      <c r="B21" s="4" t="s">
        <v>293</v>
      </c>
      <c r="C21" s="4" t="s">
        <v>20</v>
      </c>
      <c r="D21" s="4" t="s">
        <v>523</v>
      </c>
      <c r="E21" s="4" t="s">
        <v>483</v>
      </c>
      <c r="F21" s="4" t="s">
        <v>490</v>
      </c>
      <c r="G21" s="4" t="s">
        <v>491</v>
      </c>
      <c r="H21" s="4" t="s">
        <v>492</v>
      </c>
      <c r="I21" s="4">
        <v>9</v>
      </c>
      <c r="J21" s="4">
        <v>9</v>
      </c>
      <c r="K21" s="4">
        <v>3</v>
      </c>
      <c r="L21" s="4">
        <v>185</v>
      </c>
      <c r="M21" s="4">
        <v>64</v>
      </c>
      <c r="N21" s="4">
        <v>30.83</v>
      </c>
      <c r="O21" s="4">
        <v>176.77</v>
      </c>
      <c r="P21" s="4">
        <v>0</v>
      </c>
      <c r="Q21" s="4">
        <v>0</v>
      </c>
      <c r="R21" s="4">
        <v>17</v>
      </c>
      <c r="S21" s="4">
        <v>7</v>
      </c>
      <c r="T21" s="4">
        <v>0</v>
      </c>
      <c r="U21" s="4">
        <v>0</v>
      </c>
      <c r="V21" s="4" t="s">
        <v>493</v>
      </c>
      <c r="W21" s="4" t="s">
        <v>493</v>
      </c>
      <c r="X21" s="4" t="s">
        <v>493</v>
      </c>
      <c r="Y21" s="4" t="s">
        <v>493</v>
      </c>
      <c r="Z21" s="4">
        <v>0</v>
      </c>
      <c r="AA21" s="4">
        <v>0</v>
      </c>
      <c r="AB21" s="4">
        <v>9</v>
      </c>
      <c r="AC21" s="4">
        <v>0</v>
      </c>
      <c r="AD21" s="4" t="s">
        <v>37</v>
      </c>
      <c r="AE21" s="3" t="s">
        <v>475</v>
      </c>
      <c r="AF21" s="4" t="s">
        <v>247</v>
      </c>
      <c r="AG21" s="4" t="s">
        <v>476</v>
      </c>
      <c r="AH21" s="4">
        <v>1</v>
      </c>
    </row>
    <row r="22" spans="1:34" x14ac:dyDescent="0.3">
      <c r="A22" s="7" t="s">
        <v>531</v>
      </c>
      <c r="B22" s="7" t="s">
        <v>114</v>
      </c>
      <c r="C22" s="7" t="s">
        <v>20</v>
      </c>
      <c r="D22" s="7" t="s">
        <v>523</v>
      </c>
      <c r="E22" s="7" t="s">
        <v>483</v>
      </c>
      <c r="F22" s="7" t="s">
        <v>484</v>
      </c>
      <c r="G22" s="7" t="s">
        <v>472</v>
      </c>
      <c r="H22" s="7" t="s">
        <v>509</v>
      </c>
      <c r="I22" s="7">
        <v>13</v>
      </c>
      <c r="J22" s="7">
        <v>12</v>
      </c>
      <c r="K22" s="7">
        <v>1</v>
      </c>
      <c r="L22" s="7">
        <v>523</v>
      </c>
      <c r="M22" s="7">
        <v>88</v>
      </c>
      <c r="N22" s="7">
        <v>47.55</v>
      </c>
      <c r="O22" s="7">
        <v>129.71</v>
      </c>
      <c r="P22" s="7">
        <v>1</v>
      </c>
      <c r="Q22" s="7">
        <v>0</v>
      </c>
      <c r="R22" s="7">
        <v>61</v>
      </c>
      <c r="S22" s="7">
        <v>34</v>
      </c>
      <c r="T22" s="7">
        <v>0</v>
      </c>
      <c r="U22" s="7">
        <v>12</v>
      </c>
      <c r="V22" s="7">
        <v>22.7</v>
      </c>
      <c r="W22" s="7">
        <v>8.8000000000000007</v>
      </c>
      <c r="X22" s="7">
        <v>17.95</v>
      </c>
      <c r="Y22" s="7" t="s">
        <v>532</v>
      </c>
      <c r="Z22" s="7">
        <v>0</v>
      </c>
      <c r="AA22" s="7">
        <v>46.7</v>
      </c>
      <c r="AB22" s="7">
        <v>10</v>
      </c>
      <c r="AC22" s="7">
        <v>0</v>
      </c>
      <c r="AD22" s="7" t="s">
        <v>38</v>
      </c>
      <c r="AE22" s="8" t="s">
        <v>486</v>
      </c>
      <c r="AF22" s="7" t="s">
        <v>406</v>
      </c>
      <c r="AG22" s="7" t="s">
        <v>476</v>
      </c>
      <c r="AH22" s="7">
        <v>5</v>
      </c>
    </row>
    <row r="23" spans="1:34" x14ac:dyDescent="0.3">
      <c r="A23" s="4" t="s">
        <v>533</v>
      </c>
      <c r="B23" s="4" t="s">
        <v>121</v>
      </c>
      <c r="C23" s="4" t="s">
        <v>20</v>
      </c>
      <c r="D23" s="4" t="s">
        <v>523</v>
      </c>
      <c r="E23" s="4" t="s">
        <v>483</v>
      </c>
      <c r="F23" s="4" t="s">
        <v>490</v>
      </c>
      <c r="G23" s="4" t="s">
        <v>472</v>
      </c>
      <c r="H23" s="4" t="s">
        <v>492</v>
      </c>
      <c r="I23" s="4">
        <v>12</v>
      </c>
      <c r="J23" s="4">
        <v>12</v>
      </c>
      <c r="K23" s="4">
        <v>2</v>
      </c>
      <c r="L23" s="4">
        <v>203</v>
      </c>
      <c r="M23" s="4">
        <v>111</v>
      </c>
      <c r="N23" s="4">
        <v>20.3</v>
      </c>
      <c r="O23" s="4">
        <v>163.82</v>
      </c>
      <c r="P23" s="4">
        <v>0</v>
      </c>
      <c r="Q23" s="4">
        <v>0</v>
      </c>
      <c r="R23" s="4">
        <v>27</v>
      </c>
      <c r="S23" s="4">
        <v>21</v>
      </c>
      <c r="T23" s="4">
        <v>1</v>
      </c>
      <c r="U23" s="4">
        <v>0</v>
      </c>
      <c r="V23" s="4" t="s">
        <v>493</v>
      </c>
      <c r="W23" s="4" t="s">
        <v>493</v>
      </c>
      <c r="X23" s="4" t="s">
        <v>493</v>
      </c>
      <c r="Y23" s="4" t="s">
        <v>493</v>
      </c>
      <c r="Z23" s="4">
        <v>0</v>
      </c>
      <c r="AA23" s="4">
        <v>0</v>
      </c>
      <c r="AB23" s="4">
        <v>5</v>
      </c>
      <c r="AC23" s="4">
        <v>0</v>
      </c>
      <c r="AD23" s="4" t="s">
        <v>28</v>
      </c>
      <c r="AE23" s="8" t="s">
        <v>486</v>
      </c>
      <c r="AF23" s="4" t="s">
        <v>372</v>
      </c>
      <c r="AG23" s="4" t="s">
        <v>476</v>
      </c>
      <c r="AH23" s="4">
        <v>2</v>
      </c>
    </row>
    <row r="24" spans="1:34" x14ac:dyDescent="0.3">
      <c r="A24" s="7" t="s">
        <v>534</v>
      </c>
      <c r="B24" s="7" t="s">
        <v>535</v>
      </c>
      <c r="C24" s="7" t="s">
        <v>20</v>
      </c>
      <c r="D24" s="7" t="s">
        <v>523</v>
      </c>
      <c r="E24" s="7" t="s">
        <v>536</v>
      </c>
      <c r="F24" s="7" t="s">
        <v>505</v>
      </c>
      <c r="G24" s="7" t="s">
        <v>491</v>
      </c>
      <c r="H24" s="7" t="s">
        <v>492</v>
      </c>
      <c r="I24" s="7">
        <v>8</v>
      </c>
      <c r="J24" s="7">
        <v>8</v>
      </c>
      <c r="K24" s="7">
        <v>0</v>
      </c>
      <c r="L24" s="7">
        <v>216</v>
      </c>
      <c r="M24" s="7">
        <v>36</v>
      </c>
      <c r="N24" s="7">
        <v>27</v>
      </c>
      <c r="O24" s="7">
        <v>169.85</v>
      </c>
      <c r="P24" s="7">
        <v>0</v>
      </c>
      <c r="Q24" s="7">
        <v>0</v>
      </c>
      <c r="R24" s="7">
        <v>21</v>
      </c>
      <c r="S24" s="7">
        <v>23</v>
      </c>
      <c r="T24" s="7">
        <v>0</v>
      </c>
      <c r="U24" s="7">
        <v>0</v>
      </c>
      <c r="V24" s="7" t="s">
        <v>493</v>
      </c>
      <c r="W24" s="7" t="s">
        <v>493</v>
      </c>
      <c r="X24" s="7" t="s">
        <v>493</v>
      </c>
      <c r="Y24" s="7" t="s">
        <v>493</v>
      </c>
      <c r="Z24" s="7">
        <v>0</v>
      </c>
      <c r="AA24" s="7">
        <v>0</v>
      </c>
      <c r="AB24" s="7">
        <v>6</v>
      </c>
      <c r="AC24" s="7">
        <v>2</v>
      </c>
      <c r="AD24" s="7" t="s">
        <v>19</v>
      </c>
      <c r="AE24" s="3" t="s">
        <v>475</v>
      </c>
      <c r="AF24" s="7" t="s">
        <v>213</v>
      </c>
      <c r="AG24" s="7" t="s">
        <v>476</v>
      </c>
      <c r="AH24" s="7">
        <v>3</v>
      </c>
    </row>
    <row r="25" spans="1:34" x14ac:dyDescent="0.3">
      <c r="A25" s="4" t="s">
        <v>537</v>
      </c>
      <c r="B25" s="4" t="s">
        <v>312</v>
      </c>
      <c r="C25" s="4" t="s">
        <v>20</v>
      </c>
      <c r="D25" s="4" t="s">
        <v>523</v>
      </c>
      <c r="E25" s="4" t="s">
        <v>536</v>
      </c>
      <c r="F25" s="4" t="s">
        <v>484</v>
      </c>
      <c r="G25" s="4" t="s">
        <v>472</v>
      </c>
      <c r="H25" s="4" t="s">
        <v>473</v>
      </c>
      <c r="I25" s="4">
        <v>8</v>
      </c>
      <c r="J25" s="4">
        <v>8</v>
      </c>
      <c r="K25" s="4">
        <v>2</v>
      </c>
      <c r="L25" s="4">
        <v>111</v>
      </c>
      <c r="M25" s="4">
        <v>82</v>
      </c>
      <c r="N25" s="4">
        <v>18.5</v>
      </c>
      <c r="O25" s="4">
        <v>150.5</v>
      </c>
      <c r="P25" s="4">
        <v>0</v>
      </c>
      <c r="Q25" s="4">
        <v>0</v>
      </c>
      <c r="R25" s="4">
        <v>12</v>
      </c>
      <c r="S25" s="4">
        <v>6</v>
      </c>
      <c r="T25" s="4">
        <v>0</v>
      </c>
      <c r="U25" s="4">
        <v>15</v>
      </c>
      <c r="V25" s="4">
        <v>33.26</v>
      </c>
      <c r="W25" s="4">
        <v>7.35</v>
      </c>
      <c r="X25" s="4">
        <v>14.54</v>
      </c>
      <c r="Y25" s="4" t="s">
        <v>538</v>
      </c>
      <c r="Z25" s="4">
        <v>0</v>
      </c>
      <c r="AA25" s="4">
        <v>27</v>
      </c>
      <c r="AB25" s="4">
        <v>2</v>
      </c>
      <c r="AC25" s="4">
        <v>0</v>
      </c>
      <c r="AD25" s="4" t="s">
        <v>55</v>
      </c>
      <c r="AE25" s="3" t="s">
        <v>475</v>
      </c>
      <c r="AF25" s="4" t="s">
        <v>108</v>
      </c>
      <c r="AG25" s="4" t="s">
        <v>502</v>
      </c>
      <c r="AH25" s="4">
        <v>5</v>
      </c>
    </row>
    <row r="26" spans="1:34" x14ac:dyDescent="0.3">
      <c r="A26" s="7" t="s">
        <v>539</v>
      </c>
      <c r="B26" s="7" t="s">
        <v>540</v>
      </c>
      <c r="C26" s="7" t="s">
        <v>20</v>
      </c>
      <c r="D26" s="7" t="s">
        <v>523</v>
      </c>
      <c r="E26" s="7" t="s">
        <v>483</v>
      </c>
      <c r="F26" s="7" t="s">
        <v>484</v>
      </c>
      <c r="G26" s="7" t="s">
        <v>472</v>
      </c>
      <c r="H26" s="7" t="s">
        <v>516</v>
      </c>
      <c r="I26" s="7">
        <v>9</v>
      </c>
      <c r="J26" s="7">
        <v>7</v>
      </c>
      <c r="K26" s="7">
        <v>3</v>
      </c>
      <c r="L26" s="7">
        <v>167</v>
      </c>
      <c r="M26" s="7">
        <v>110</v>
      </c>
      <c r="N26" s="7">
        <v>41.75</v>
      </c>
      <c r="O26" s="7">
        <v>111.25</v>
      </c>
      <c r="P26" s="7">
        <v>0</v>
      </c>
      <c r="Q26" s="7">
        <v>0</v>
      </c>
      <c r="R26" s="7">
        <v>21</v>
      </c>
      <c r="S26" s="7">
        <v>6</v>
      </c>
      <c r="T26" s="7">
        <v>0</v>
      </c>
      <c r="U26" s="7">
        <v>8</v>
      </c>
      <c r="V26" s="7">
        <v>15.6</v>
      </c>
      <c r="W26" s="7">
        <v>9.41</v>
      </c>
      <c r="X26" s="7">
        <v>11.55</v>
      </c>
      <c r="Y26" s="7" t="s">
        <v>541</v>
      </c>
      <c r="Z26" s="7">
        <v>0</v>
      </c>
      <c r="AA26" s="7">
        <v>23.3</v>
      </c>
      <c r="AB26" s="7">
        <v>4</v>
      </c>
      <c r="AC26" s="7">
        <v>0</v>
      </c>
      <c r="AD26" s="7" t="s">
        <v>47</v>
      </c>
      <c r="AE26" s="3" t="s">
        <v>475</v>
      </c>
      <c r="AF26" s="7" t="s">
        <v>298</v>
      </c>
      <c r="AG26" s="7" t="s">
        <v>476</v>
      </c>
      <c r="AH26" s="7">
        <v>4</v>
      </c>
    </row>
    <row r="27" spans="1:34" x14ac:dyDescent="0.3">
      <c r="A27" s="4" t="s">
        <v>542</v>
      </c>
      <c r="B27" s="4" t="s">
        <v>234</v>
      </c>
      <c r="C27" s="4" t="s">
        <v>20</v>
      </c>
      <c r="D27" s="4" t="s">
        <v>523</v>
      </c>
      <c r="E27" s="4" t="s">
        <v>543</v>
      </c>
      <c r="F27" s="4" t="s">
        <v>490</v>
      </c>
      <c r="G27" s="4" t="s">
        <v>491</v>
      </c>
      <c r="H27" s="4" t="s">
        <v>492</v>
      </c>
      <c r="I27" s="4">
        <v>11</v>
      </c>
      <c r="J27" s="4">
        <v>9</v>
      </c>
      <c r="K27" s="4">
        <v>0</v>
      </c>
      <c r="L27" s="4">
        <v>254</v>
      </c>
      <c r="M27" s="4">
        <v>100</v>
      </c>
      <c r="N27" s="4">
        <v>28.22</v>
      </c>
      <c r="O27" s="4">
        <v>148.43</v>
      </c>
      <c r="P27" s="4">
        <v>0</v>
      </c>
      <c r="Q27" s="4">
        <v>0</v>
      </c>
      <c r="R27" s="4">
        <v>26</v>
      </c>
      <c r="S27" s="4">
        <v>23</v>
      </c>
      <c r="T27" s="4">
        <v>0</v>
      </c>
      <c r="U27" s="4">
        <v>0</v>
      </c>
      <c r="V27" s="4" t="s">
        <v>493</v>
      </c>
      <c r="W27" s="4" t="s">
        <v>493</v>
      </c>
      <c r="X27" s="4" t="s">
        <v>493</v>
      </c>
      <c r="Y27" s="4" t="s">
        <v>493</v>
      </c>
      <c r="Z27" s="4">
        <v>0</v>
      </c>
      <c r="AA27" s="4">
        <v>0</v>
      </c>
      <c r="AB27" s="4">
        <v>9</v>
      </c>
      <c r="AC27" s="4">
        <v>0</v>
      </c>
      <c r="AD27" s="4" t="s">
        <v>142</v>
      </c>
      <c r="AE27" s="3" t="s">
        <v>475</v>
      </c>
      <c r="AF27" s="4" t="s">
        <v>229</v>
      </c>
      <c r="AG27" s="4" t="s">
        <v>476</v>
      </c>
      <c r="AH27" s="4">
        <v>5</v>
      </c>
    </row>
    <row r="28" spans="1:34" x14ac:dyDescent="0.3">
      <c r="A28" s="7" t="s">
        <v>544</v>
      </c>
      <c r="B28" s="7" t="s">
        <v>545</v>
      </c>
      <c r="C28" s="7" t="s">
        <v>20</v>
      </c>
      <c r="D28" s="7" t="s">
        <v>523</v>
      </c>
      <c r="E28" s="7" t="s">
        <v>536</v>
      </c>
      <c r="F28" s="7" t="s">
        <v>484</v>
      </c>
      <c r="G28" s="7" t="s">
        <v>491</v>
      </c>
      <c r="H28" s="7" t="s">
        <v>516</v>
      </c>
      <c r="I28" s="7">
        <v>9</v>
      </c>
      <c r="J28" s="7">
        <v>7</v>
      </c>
      <c r="K28" s="7">
        <v>1</v>
      </c>
      <c r="L28" s="7">
        <v>268</v>
      </c>
      <c r="M28" s="7">
        <v>74</v>
      </c>
      <c r="N28" s="7">
        <v>44.67</v>
      </c>
      <c r="O28" s="7">
        <v>167.1</v>
      </c>
      <c r="P28" s="7">
        <v>0</v>
      </c>
      <c r="Q28" s="7">
        <v>0</v>
      </c>
      <c r="R28" s="7">
        <v>35</v>
      </c>
      <c r="S28" s="7">
        <v>16</v>
      </c>
      <c r="T28" s="7">
        <v>0</v>
      </c>
      <c r="U28" s="7">
        <v>9</v>
      </c>
      <c r="V28" s="7">
        <v>33.83</v>
      </c>
      <c r="W28" s="7">
        <v>8.3000000000000007</v>
      </c>
      <c r="X28" s="7">
        <v>19.420000000000002</v>
      </c>
      <c r="Y28" s="7" t="s">
        <v>546</v>
      </c>
      <c r="Z28" s="7">
        <v>0</v>
      </c>
      <c r="AA28" s="7">
        <v>32.9</v>
      </c>
      <c r="AB28" s="7">
        <v>6</v>
      </c>
      <c r="AC28" s="7">
        <v>0</v>
      </c>
      <c r="AD28" s="7" t="s">
        <v>81</v>
      </c>
      <c r="AE28" s="3" t="s">
        <v>475</v>
      </c>
      <c r="AF28" s="7" t="s">
        <v>289</v>
      </c>
      <c r="AG28" s="7" t="s">
        <v>476</v>
      </c>
      <c r="AH28" s="7">
        <v>0.4</v>
      </c>
    </row>
    <row r="29" spans="1:34" x14ac:dyDescent="0.3">
      <c r="A29" s="4" t="s">
        <v>547</v>
      </c>
      <c r="B29" s="4" t="s">
        <v>548</v>
      </c>
      <c r="C29" s="4" t="s">
        <v>20</v>
      </c>
      <c r="D29" s="4" t="s">
        <v>523</v>
      </c>
      <c r="E29" s="4" t="s">
        <v>470</v>
      </c>
      <c r="F29" s="4" t="s">
        <v>490</v>
      </c>
      <c r="G29" s="4" t="s">
        <v>472</v>
      </c>
      <c r="H29" s="4" t="s">
        <v>492</v>
      </c>
      <c r="I29" s="4">
        <v>12</v>
      </c>
      <c r="J29" s="4">
        <v>10</v>
      </c>
      <c r="K29" s="4">
        <v>3</v>
      </c>
      <c r="L29" s="4">
        <v>161</v>
      </c>
      <c r="M29" s="4">
        <v>30</v>
      </c>
      <c r="N29" s="4">
        <v>23</v>
      </c>
      <c r="O29" s="4">
        <v>118.74</v>
      </c>
      <c r="P29" s="4">
        <v>0</v>
      </c>
      <c r="Q29" s="4">
        <v>0</v>
      </c>
      <c r="R29" s="4">
        <v>14</v>
      </c>
      <c r="S29" s="4">
        <v>14</v>
      </c>
      <c r="T29" s="4">
        <v>0</v>
      </c>
      <c r="U29" s="4">
        <v>0</v>
      </c>
      <c r="V29" s="4" t="s">
        <v>493</v>
      </c>
      <c r="W29" s="4" t="s">
        <v>493</v>
      </c>
      <c r="X29" s="4" t="s">
        <v>493</v>
      </c>
      <c r="Y29" s="4" t="s">
        <v>493</v>
      </c>
      <c r="Z29" s="4">
        <v>0</v>
      </c>
      <c r="AA29" s="4">
        <v>0</v>
      </c>
      <c r="AB29" s="4">
        <v>2</v>
      </c>
      <c r="AC29" s="4">
        <v>0</v>
      </c>
      <c r="AD29" s="4" t="s">
        <v>55</v>
      </c>
      <c r="AE29" s="3" t="s">
        <v>475</v>
      </c>
      <c r="AF29" s="4" t="s">
        <v>401</v>
      </c>
      <c r="AG29" s="4" t="s">
        <v>476</v>
      </c>
      <c r="AH29" s="4">
        <v>4</v>
      </c>
    </row>
    <row r="30" spans="1:34" x14ac:dyDescent="0.3">
      <c r="A30" s="7" t="s">
        <v>549</v>
      </c>
      <c r="B30" s="7" t="s">
        <v>218</v>
      </c>
      <c r="C30" s="7" t="s">
        <v>20</v>
      </c>
      <c r="D30" s="7" t="s">
        <v>523</v>
      </c>
      <c r="E30" s="7" t="s">
        <v>479</v>
      </c>
      <c r="F30" s="7" t="s">
        <v>490</v>
      </c>
      <c r="G30" s="7" t="s">
        <v>491</v>
      </c>
      <c r="H30" s="7" t="s">
        <v>492</v>
      </c>
      <c r="I30" s="7">
        <v>10</v>
      </c>
      <c r="J30" s="7">
        <v>8</v>
      </c>
      <c r="K30" s="7">
        <v>3</v>
      </c>
      <c r="L30" s="7">
        <v>261</v>
      </c>
      <c r="M30" s="7">
        <v>65</v>
      </c>
      <c r="N30" s="7">
        <v>52.2</v>
      </c>
      <c r="O30" s="7">
        <v>128.86000000000001</v>
      </c>
      <c r="P30" s="7">
        <v>0</v>
      </c>
      <c r="Q30" s="7">
        <v>0</v>
      </c>
      <c r="R30" s="7">
        <v>35</v>
      </c>
      <c r="S30" s="7">
        <v>13</v>
      </c>
      <c r="T30" s="7">
        <v>0</v>
      </c>
      <c r="U30" s="7">
        <v>0</v>
      </c>
      <c r="V30" s="7" t="s">
        <v>493</v>
      </c>
      <c r="W30" s="7" t="s">
        <v>493</v>
      </c>
      <c r="X30" s="7" t="s">
        <v>493</v>
      </c>
      <c r="Y30" s="7" t="s">
        <v>493</v>
      </c>
      <c r="Z30" s="7">
        <v>0</v>
      </c>
      <c r="AA30" s="7">
        <v>0</v>
      </c>
      <c r="AB30" s="7">
        <v>3</v>
      </c>
      <c r="AC30" s="7">
        <v>0</v>
      </c>
      <c r="AD30" s="7" t="s">
        <v>28</v>
      </c>
      <c r="AE30" s="3" t="s">
        <v>475</v>
      </c>
      <c r="AF30" s="7" t="s">
        <v>159</v>
      </c>
      <c r="AG30" s="7" t="s">
        <v>476</v>
      </c>
      <c r="AH30" s="7">
        <v>0.4</v>
      </c>
    </row>
    <row r="31" spans="1:34" x14ac:dyDescent="0.3">
      <c r="A31" s="4" t="s">
        <v>550</v>
      </c>
      <c r="B31" s="4" t="s">
        <v>551</v>
      </c>
      <c r="C31" s="4" t="s">
        <v>20</v>
      </c>
      <c r="D31" s="4" t="s">
        <v>523</v>
      </c>
      <c r="E31" s="4" t="s">
        <v>483</v>
      </c>
      <c r="F31" s="4" t="s">
        <v>471</v>
      </c>
      <c r="G31" s="4" t="s">
        <v>491</v>
      </c>
      <c r="H31" s="4" t="s">
        <v>480</v>
      </c>
      <c r="I31" s="4">
        <v>13</v>
      </c>
      <c r="J31" s="4">
        <v>13</v>
      </c>
      <c r="K31" s="4">
        <v>0</v>
      </c>
      <c r="L31" s="4">
        <v>124</v>
      </c>
      <c r="M31" s="4">
        <v>10</v>
      </c>
      <c r="N31" s="4">
        <v>9.5399999999999991</v>
      </c>
      <c r="O31" s="4">
        <v>89.3</v>
      </c>
      <c r="P31" s="4">
        <v>0</v>
      </c>
      <c r="Q31" s="4">
        <v>0</v>
      </c>
      <c r="R31" s="4">
        <v>10</v>
      </c>
      <c r="S31" s="4">
        <v>6</v>
      </c>
      <c r="T31" s="4">
        <v>3</v>
      </c>
      <c r="U31" s="4">
        <v>12</v>
      </c>
      <c r="V31" s="4">
        <v>34.450000000000003</v>
      </c>
      <c r="W31" s="4">
        <v>6.77</v>
      </c>
      <c r="X31" s="4">
        <v>12.22</v>
      </c>
      <c r="Y31" s="4" t="s">
        <v>552</v>
      </c>
      <c r="Z31" s="4">
        <v>0</v>
      </c>
      <c r="AA31" s="4">
        <v>47.4</v>
      </c>
      <c r="AB31" s="4">
        <v>6</v>
      </c>
      <c r="AC31" s="4">
        <v>0</v>
      </c>
      <c r="AD31" s="4" t="s">
        <v>55</v>
      </c>
      <c r="AE31" s="3" t="s">
        <v>475</v>
      </c>
      <c r="AF31" s="4" t="s">
        <v>108</v>
      </c>
      <c r="AG31" s="4" t="s">
        <v>502</v>
      </c>
      <c r="AH31" s="4">
        <v>4</v>
      </c>
    </row>
    <row r="32" spans="1:34" x14ac:dyDescent="0.3">
      <c r="A32" s="7" t="s">
        <v>553</v>
      </c>
      <c r="B32" s="7" t="s">
        <v>554</v>
      </c>
      <c r="C32" s="7" t="s">
        <v>37</v>
      </c>
      <c r="D32" s="7" t="s">
        <v>555</v>
      </c>
      <c r="E32" s="7" t="s">
        <v>483</v>
      </c>
      <c r="F32" s="7" t="s">
        <v>471</v>
      </c>
      <c r="G32" s="7" t="s">
        <v>491</v>
      </c>
      <c r="H32" s="7" t="s">
        <v>556</v>
      </c>
      <c r="I32" s="7">
        <v>12</v>
      </c>
      <c r="J32" s="7">
        <v>10</v>
      </c>
      <c r="K32" s="7">
        <v>0</v>
      </c>
      <c r="L32" s="7">
        <v>21</v>
      </c>
      <c r="M32" s="7">
        <v>33</v>
      </c>
      <c r="N32" s="7">
        <v>2.1</v>
      </c>
      <c r="O32" s="7">
        <v>121.91</v>
      </c>
      <c r="P32" s="7">
        <v>0</v>
      </c>
      <c r="Q32" s="7">
        <v>0</v>
      </c>
      <c r="R32" s="7">
        <v>1</v>
      </c>
      <c r="S32" s="7">
        <v>1</v>
      </c>
      <c r="T32" s="7">
        <v>3</v>
      </c>
      <c r="U32" s="7">
        <v>4</v>
      </c>
      <c r="V32" s="7">
        <v>26.93</v>
      </c>
      <c r="W32" s="7">
        <v>8.42</v>
      </c>
      <c r="X32" s="7">
        <v>10.94</v>
      </c>
      <c r="Y32" s="7" t="s">
        <v>557</v>
      </c>
      <c r="Z32" s="7">
        <v>0</v>
      </c>
      <c r="AA32" s="7">
        <v>33.799999999999997</v>
      </c>
      <c r="AB32" s="7">
        <v>9</v>
      </c>
      <c r="AC32" s="7">
        <v>0</v>
      </c>
      <c r="AD32" s="7" t="s">
        <v>46</v>
      </c>
      <c r="AE32" s="3" t="s">
        <v>475</v>
      </c>
      <c r="AF32" s="7" t="s">
        <v>323</v>
      </c>
      <c r="AG32" s="7" t="s">
        <v>476</v>
      </c>
      <c r="AH32" s="7">
        <v>18</v>
      </c>
    </row>
    <row r="33" spans="1:34" x14ac:dyDescent="0.3">
      <c r="A33" s="4" t="s">
        <v>558</v>
      </c>
      <c r="B33" s="4" t="s">
        <v>278</v>
      </c>
      <c r="C33" s="4" t="s">
        <v>37</v>
      </c>
      <c r="D33" s="4" t="s">
        <v>555</v>
      </c>
      <c r="E33" s="4" t="s">
        <v>559</v>
      </c>
      <c r="F33" s="4" t="s">
        <v>484</v>
      </c>
      <c r="G33" s="4" t="s">
        <v>491</v>
      </c>
      <c r="H33" s="4" t="s">
        <v>480</v>
      </c>
      <c r="I33" s="4">
        <v>13</v>
      </c>
      <c r="J33" s="4">
        <v>13</v>
      </c>
      <c r="K33" s="4">
        <v>1</v>
      </c>
      <c r="L33" s="4">
        <v>551</v>
      </c>
      <c r="M33" s="4">
        <v>44</v>
      </c>
      <c r="N33" s="4">
        <v>45.92</v>
      </c>
      <c r="O33" s="4">
        <v>170.77</v>
      </c>
      <c r="P33" s="4">
        <v>1</v>
      </c>
      <c r="Q33" s="4">
        <v>0</v>
      </c>
      <c r="R33" s="4">
        <v>49</v>
      </c>
      <c r="S33" s="4">
        <v>39</v>
      </c>
      <c r="T33" s="4">
        <v>1</v>
      </c>
      <c r="U33" s="4">
        <v>18</v>
      </c>
      <c r="V33" s="4">
        <v>20.23</v>
      </c>
      <c r="W33" s="4">
        <v>7.37</v>
      </c>
      <c r="X33" s="4">
        <v>10.32</v>
      </c>
      <c r="Y33" s="4" t="s">
        <v>560</v>
      </c>
      <c r="Z33" s="4">
        <v>0</v>
      </c>
      <c r="AA33" s="4">
        <v>35.1</v>
      </c>
      <c r="AB33" s="4">
        <v>8</v>
      </c>
      <c r="AC33" s="4">
        <v>0</v>
      </c>
      <c r="AD33" s="4" t="s">
        <v>28</v>
      </c>
      <c r="AE33" s="3" t="s">
        <v>475</v>
      </c>
      <c r="AF33" s="4" t="s">
        <v>264</v>
      </c>
      <c r="AG33" s="4" t="s">
        <v>476</v>
      </c>
      <c r="AH33" s="4">
        <v>3</v>
      </c>
    </row>
    <row r="34" spans="1:34" x14ac:dyDescent="0.3">
      <c r="A34" s="7" t="s">
        <v>561</v>
      </c>
      <c r="B34" s="7" t="s">
        <v>562</v>
      </c>
      <c r="C34" s="7" t="s">
        <v>37</v>
      </c>
      <c r="D34" s="7" t="s">
        <v>555</v>
      </c>
      <c r="E34" s="7" t="s">
        <v>543</v>
      </c>
      <c r="F34" s="7" t="s">
        <v>490</v>
      </c>
      <c r="G34" s="7" t="s">
        <v>472</v>
      </c>
      <c r="H34" s="7" t="s">
        <v>492</v>
      </c>
      <c r="I34" s="7">
        <v>9</v>
      </c>
      <c r="J34" s="7">
        <v>9</v>
      </c>
      <c r="K34" s="7">
        <v>1</v>
      </c>
      <c r="L34" s="7">
        <v>236</v>
      </c>
      <c r="M34" s="7">
        <v>92</v>
      </c>
      <c r="N34" s="7">
        <v>29.5</v>
      </c>
      <c r="O34" s="7">
        <v>178.87</v>
      </c>
      <c r="P34" s="7">
        <v>0</v>
      </c>
      <c r="Q34" s="7">
        <v>0</v>
      </c>
      <c r="R34" s="7">
        <v>32</v>
      </c>
      <c r="S34" s="7">
        <v>23</v>
      </c>
      <c r="T34" s="7">
        <v>0</v>
      </c>
      <c r="U34" s="7">
        <v>0</v>
      </c>
      <c r="V34" s="7" t="s">
        <v>493</v>
      </c>
      <c r="W34" s="7" t="s">
        <v>493</v>
      </c>
      <c r="X34" s="7" t="s">
        <v>493</v>
      </c>
      <c r="Y34" s="7" t="s">
        <v>493</v>
      </c>
      <c r="Z34" s="7">
        <v>0</v>
      </c>
      <c r="AA34" s="7">
        <v>0</v>
      </c>
      <c r="AB34" s="7">
        <v>2</v>
      </c>
      <c r="AC34" s="7">
        <v>0</v>
      </c>
      <c r="AD34" s="7" t="s">
        <v>46</v>
      </c>
      <c r="AE34" s="3" t="s">
        <v>475</v>
      </c>
      <c r="AF34" s="7" t="s">
        <v>323</v>
      </c>
      <c r="AG34" s="7" t="s">
        <v>476</v>
      </c>
      <c r="AH34" s="7">
        <v>7.5</v>
      </c>
    </row>
    <row r="35" spans="1:34" x14ac:dyDescent="0.3">
      <c r="A35" s="4" t="s">
        <v>563</v>
      </c>
      <c r="B35" s="4" t="s">
        <v>42</v>
      </c>
      <c r="C35" s="4" t="s">
        <v>37</v>
      </c>
      <c r="D35" s="4" t="s">
        <v>555</v>
      </c>
      <c r="E35" s="4" t="s">
        <v>483</v>
      </c>
      <c r="F35" s="4" t="s">
        <v>490</v>
      </c>
      <c r="G35" s="4" t="s">
        <v>472</v>
      </c>
      <c r="H35" s="4" t="s">
        <v>492</v>
      </c>
      <c r="I35" s="4">
        <v>11</v>
      </c>
      <c r="J35" s="4">
        <v>11</v>
      </c>
      <c r="K35" s="4">
        <v>3</v>
      </c>
      <c r="L35" s="4">
        <v>234</v>
      </c>
      <c r="M35" s="4">
        <v>101</v>
      </c>
      <c r="N35" s="4">
        <v>29.25</v>
      </c>
      <c r="O35" s="4">
        <v>183.3</v>
      </c>
      <c r="P35" s="4">
        <v>0</v>
      </c>
      <c r="Q35" s="4">
        <v>0</v>
      </c>
      <c r="R35" s="4">
        <v>25</v>
      </c>
      <c r="S35" s="4">
        <v>16</v>
      </c>
      <c r="T35" s="4">
        <v>0</v>
      </c>
      <c r="U35" s="4">
        <v>0</v>
      </c>
      <c r="V35" s="4" t="s">
        <v>493</v>
      </c>
      <c r="W35" s="4" t="s">
        <v>493</v>
      </c>
      <c r="X35" s="4" t="s">
        <v>493</v>
      </c>
      <c r="Y35" s="4" t="s">
        <v>493</v>
      </c>
      <c r="Z35" s="4">
        <v>0</v>
      </c>
      <c r="AA35" s="4">
        <v>0</v>
      </c>
      <c r="AB35" s="4">
        <v>7</v>
      </c>
      <c r="AC35" s="4">
        <v>0</v>
      </c>
      <c r="AD35" s="4" t="s">
        <v>46</v>
      </c>
      <c r="AE35" s="3" t="s">
        <v>475</v>
      </c>
      <c r="AF35" s="4" t="s">
        <v>103</v>
      </c>
      <c r="AG35" s="4" t="s">
        <v>476</v>
      </c>
      <c r="AH35" s="4">
        <v>1</v>
      </c>
    </row>
    <row r="36" spans="1:34" x14ac:dyDescent="0.3">
      <c r="A36" s="7" t="s">
        <v>564</v>
      </c>
      <c r="B36" s="7" t="s">
        <v>565</v>
      </c>
      <c r="C36" s="7" t="s">
        <v>37</v>
      </c>
      <c r="D36" s="7" t="s">
        <v>555</v>
      </c>
      <c r="E36" s="7" t="s">
        <v>483</v>
      </c>
      <c r="F36" s="7" t="s">
        <v>490</v>
      </c>
      <c r="G36" s="7" t="s">
        <v>472</v>
      </c>
      <c r="H36" s="7" t="s">
        <v>492</v>
      </c>
      <c r="I36" s="7">
        <v>11</v>
      </c>
      <c r="J36" s="7">
        <v>11</v>
      </c>
      <c r="K36" s="7">
        <v>3</v>
      </c>
      <c r="L36" s="7">
        <v>341</v>
      </c>
      <c r="M36" s="7">
        <v>30</v>
      </c>
      <c r="N36" s="7">
        <v>42.62</v>
      </c>
      <c r="O36" s="7">
        <v>139.97999999999999</v>
      </c>
      <c r="P36" s="7">
        <v>0</v>
      </c>
      <c r="Q36" s="7">
        <v>0</v>
      </c>
      <c r="R36" s="7">
        <v>39</v>
      </c>
      <c r="S36" s="7">
        <v>40</v>
      </c>
      <c r="T36" s="7">
        <v>0</v>
      </c>
      <c r="U36" s="7">
        <v>0</v>
      </c>
      <c r="V36" s="7" t="s">
        <v>493</v>
      </c>
      <c r="W36" s="7" t="s">
        <v>493</v>
      </c>
      <c r="X36" s="7" t="s">
        <v>493</v>
      </c>
      <c r="Y36" s="7" t="s">
        <v>493</v>
      </c>
      <c r="Z36" s="7">
        <v>0</v>
      </c>
      <c r="AA36" s="7">
        <v>0</v>
      </c>
      <c r="AB36" s="7">
        <v>8</v>
      </c>
      <c r="AC36" s="7">
        <v>0</v>
      </c>
      <c r="AD36" s="7" t="s">
        <v>38</v>
      </c>
      <c r="AE36" s="3" t="s">
        <v>475</v>
      </c>
      <c r="AF36" s="7" t="s">
        <v>34</v>
      </c>
      <c r="AG36" s="7" t="s">
        <v>476</v>
      </c>
      <c r="AH36" s="7">
        <v>0.2</v>
      </c>
    </row>
    <row r="37" spans="1:34" x14ac:dyDescent="0.3">
      <c r="A37" s="4" t="s">
        <v>566</v>
      </c>
      <c r="B37" s="4" t="s">
        <v>268</v>
      </c>
      <c r="C37" s="4" t="s">
        <v>37</v>
      </c>
      <c r="D37" s="4" t="s">
        <v>555</v>
      </c>
      <c r="E37" s="4" t="s">
        <v>483</v>
      </c>
      <c r="F37" s="4" t="s">
        <v>484</v>
      </c>
      <c r="G37" s="4" t="s">
        <v>491</v>
      </c>
      <c r="H37" s="4" t="s">
        <v>473</v>
      </c>
      <c r="I37" s="4">
        <v>11</v>
      </c>
      <c r="J37" s="4">
        <v>10</v>
      </c>
      <c r="K37" s="4">
        <v>3</v>
      </c>
      <c r="L37" s="4">
        <v>128</v>
      </c>
      <c r="M37" s="4">
        <v>113</v>
      </c>
      <c r="N37" s="4">
        <v>18.29</v>
      </c>
      <c r="O37" s="4">
        <v>159.63999999999999</v>
      </c>
      <c r="P37" s="4">
        <v>0</v>
      </c>
      <c r="Q37" s="4">
        <v>0</v>
      </c>
      <c r="R37" s="4">
        <v>11</v>
      </c>
      <c r="S37" s="4">
        <v>7</v>
      </c>
      <c r="T37" s="4">
        <v>0</v>
      </c>
      <c r="U37" s="4">
        <v>13</v>
      </c>
      <c r="V37" s="4">
        <v>25.11</v>
      </c>
      <c r="W37" s="4">
        <v>9.69</v>
      </c>
      <c r="X37" s="4">
        <v>15.6</v>
      </c>
      <c r="Y37" s="4" t="s">
        <v>567</v>
      </c>
      <c r="Z37" s="4">
        <v>0</v>
      </c>
      <c r="AA37" s="4">
        <v>41.5</v>
      </c>
      <c r="AB37" s="4">
        <v>5</v>
      </c>
      <c r="AC37" s="4">
        <v>0</v>
      </c>
      <c r="AD37" s="4" t="s">
        <v>19</v>
      </c>
      <c r="AE37" s="8" t="s">
        <v>486</v>
      </c>
      <c r="AF37" s="4" t="s">
        <v>347</v>
      </c>
      <c r="AG37" s="4" t="s">
        <v>476</v>
      </c>
      <c r="AH37" s="4">
        <v>0.75</v>
      </c>
    </row>
    <row r="38" spans="1:34" x14ac:dyDescent="0.3">
      <c r="A38" s="7" t="s">
        <v>568</v>
      </c>
      <c r="B38" s="7" t="s">
        <v>107</v>
      </c>
      <c r="C38" s="7" t="s">
        <v>37</v>
      </c>
      <c r="D38" s="7" t="s">
        <v>555</v>
      </c>
      <c r="E38" s="7" t="s">
        <v>536</v>
      </c>
      <c r="F38" s="7" t="s">
        <v>505</v>
      </c>
      <c r="G38" s="7" t="s">
        <v>491</v>
      </c>
      <c r="H38" s="7" t="s">
        <v>492</v>
      </c>
      <c r="I38" s="7">
        <v>12</v>
      </c>
      <c r="J38" s="7">
        <v>12</v>
      </c>
      <c r="K38" s="7">
        <v>2</v>
      </c>
      <c r="L38" s="7">
        <v>185</v>
      </c>
      <c r="M38" s="7">
        <v>83</v>
      </c>
      <c r="N38" s="7">
        <v>18.5</v>
      </c>
      <c r="O38" s="7">
        <v>124.43</v>
      </c>
      <c r="P38" s="7">
        <v>0</v>
      </c>
      <c r="Q38" s="7">
        <v>0</v>
      </c>
      <c r="R38" s="7">
        <v>16</v>
      </c>
      <c r="S38" s="7">
        <v>17</v>
      </c>
      <c r="T38" s="7">
        <v>0</v>
      </c>
      <c r="U38" s="7">
        <v>0</v>
      </c>
      <c r="V38" s="7" t="s">
        <v>493</v>
      </c>
      <c r="W38" s="7" t="s">
        <v>493</v>
      </c>
      <c r="X38" s="7" t="s">
        <v>493</v>
      </c>
      <c r="Y38" s="7" t="s">
        <v>493</v>
      </c>
      <c r="Z38" s="7">
        <v>0</v>
      </c>
      <c r="AA38" s="7">
        <v>0</v>
      </c>
      <c r="AB38" s="7">
        <v>8</v>
      </c>
      <c r="AC38" s="7">
        <v>4</v>
      </c>
      <c r="AD38" s="7" t="s">
        <v>38</v>
      </c>
      <c r="AE38" s="3" t="s">
        <v>475</v>
      </c>
      <c r="AF38" s="7" t="s">
        <v>284</v>
      </c>
      <c r="AG38" s="7" t="s">
        <v>476</v>
      </c>
      <c r="AH38" s="7">
        <v>3</v>
      </c>
    </row>
    <row r="39" spans="1:34" x14ac:dyDescent="0.3">
      <c r="A39" s="4" t="s">
        <v>569</v>
      </c>
      <c r="B39" s="4" t="s">
        <v>570</v>
      </c>
      <c r="C39" s="4" t="s">
        <v>37</v>
      </c>
      <c r="D39" s="4" t="s">
        <v>555</v>
      </c>
      <c r="E39" s="4" t="s">
        <v>483</v>
      </c>
      <c r="F39" s="4" t="s">
        <v>490</v>
      </c>
      <c r="G39" s="4" t="s">
        <v>472</v>
      </c>
      <c r="H39" s="4" t="s">
        <v>492</v>
      </c>
      <c r="I39" s="4">
        <v>11</v>
      </c>
      <c r="J39" s="4">
        <v>9</v>
      </c>
      <c r="K39" s="4">
        <v>2</v>
      </c>
      <c r="L39" s="4">
        <v>280</v>
      </c>
      <c r="M39" s="4">
        <v>69</v>
      </c>
      <c r="N39" s="4">
        <v>40</v>
      </c>
      <c r="O39" s="4">
        <v>133.51</v>
      </c>
      <c r="P39" s="4">
        <v>0</v>
      </c>
      <c r="Q39" s="4">
        <v>0</v>
      </c>
      <c r="R39" s="4">
        <v>30</v>
      </c>
      <c r="S39" s="4">
        <v>27</v>
      </c>
      <c r="T39" s="4">
        <v>0</v>
      </c>
      <c r="U39" s="4">
        <v>0</v>
      </c>
      <c r="V39" s="4" t="s">
        <v>493</v>
      </c>
      <c r="W39" s="4" t="s">
        <v>493</v>
      </c>
      <c r="X39" s="4" t="s">
        <v>493</v>
      </c>
      <c r="Y39" s="4" t="s">
        <v>493</v>
      </c>
      <c r="Z39" s="4">
        <v>0</v>
      </c>
      <c r="AA39" s="4">
        <v>0</v>
      </c>
      <c r="AB39" s="4">
        <v>11</v>
      </c>
      <c r="AC39" s="4">
        <v>0</v>
      </c>
      <c r="AD39" s="4" t="s">
        <v>28</v>
      </c>
      <c r="AE39" s="3" t="s">
        <v>475</v>
      </c>
      <c r="AF39" s="4" t="s">
        <v>264</v>
      </c>
      <c r="AG39" s="4" t="s">
        <v>476</v>
      </c>
      <c r="AH39" s="4">
        <v>6</v>
      </c>
    </row>
    <row r="40" spans="1:34" x14ac:dyDescent="0.3">
      <c r="A40" s="7" t="s">
        <v>571</v>
      </c>
      <c r="B40" s="7" t="s">
        <v>327</v>
      </c>
      <c r="C40" s="7" t="s">
        <v>37</v>
      </c>
      <c r="D40" s="7" t="s">
        <v>555</v>
      </c>
      <c r="E40" s="7" t="s">
        <v>483</v>
      </c>
      <c r="F40" s="7" t="s">
        <v>484</v>
      </c>
      <c r="G40" s="7" t="s">
        <v>491</v>
      </c>
      <c r="H40" s="7" t="s">
        <v>516</v>
      </c>
      <c r="I40" s="7">
        <v>13</v>
      </c>
      <c r="J40" s="7">
        <v>13</v>
      </c>
      <c r="K40" s="7">
        <v>1</v>
      </c>
      <c r="L40" s="7">
        <v>617</v>
      </c>
      <c r="M40" s="7">
        <v>65</v>
      </c>
      <c r="N40" s="7">
        <v>51.42</v>
      </c>
      <c r="O40" s="7">
        <v>128</v>
      </c>
      <c r="P40" s="7">
        <v>0</v>
      </c>
      <c r="Q40" s="7">
        <v>0</v>
      </c>
      <c r="R40" s="7">
        <v>62</v>
      </c>
      <c r="S40" s="7">
        <v>58</v>
      </c>
      <c r="T40" s="7">
        <v>0</v>
      </c>
      <c r="U40" s="7">
        <v>11</v>
      </c>
      <c r="V40" s="7">
        <v>19.05</v>
      </c>
      <c r="W40" s="7">
        <v>7.93</v>
      </c>
      <c r="X40" s="7">
        <v>14.43</v>
      </c>
      <c r="Y40" s="7" t="s">
        <v>572</v>
      </c>
      <c r="Z40" s="7">
        <v>0</v>
      </c>
      <c r="AA40" s="7">
        <v>40.9</v>
      </c>
      <c r="AB40" s="7">
        <v>10</v>
      </c>
      <c r="AC40" s="7">
        <v>0</v>
      </c>
      <c r="AD40" s="7" t="s">
        <v>47</v>
      </c>
      <c r="AE40" s="8" t="s">
        <v>486</v>
      </c>
      <c r="AF40" s="7" t="s">
        <v>92</v>
      </c>
      <c r="AG40" s="7" t="s">
        <v>476</v>
      </c>
      <c r="AH40" s="7">
        <v>12.5</v>
      </c>
    </row>
    <row r="41" spans="1:34" x14ac:dyDescent="0.3">
      <c r="A41" s="4" t="s">
        <v>573</v>
      </c>
      <c r="B41" s="4" t="s">
        <v>574</v>
      </c>
      <c r="C41" s="4" t="s">
        <v>37</v>
      </c>
      <c r="D41" s="4" t="s">
        <v>555</v>
      </c>
      <c r="E41" s="4" t="s">
        <v>483</v>
      </c>
      <c r="F41" s="4" t="s">
        <v>505</v>
      </c>
      <c r="G41" s="4" t="s">
        <v>472</v>
      </c>
      <c r="H41" s="4" t="s">
        <v>492</v>
      </c>
      <c r="I41" s="4">
        <v>12</v>
      </c>
      <c r="J41" s="4">
        <v>11</v>
      </c>
      <c r="K41" s="4">
        <v>0</v>
      </c>
      <c r="L41" s="4">
        <v>306</v>
      </c>
      <c r="M41" s="4">
        <v>66</v>
      </c>
      <c r="N41" s="4">
        <v>27.82</v>
      </c>
      <c r="O41" s="4">
        <v>156.09</v>
      </c>
      <c r="P41" s="4">
        <v>0</v>
      </c>
      <c r="Q41" s="4">
        <v>0</v>
      </c>
      <c r="R41" s="4">
        <v>35</v>
      </c>
      <c r="S41" s="4">
        <v>13</v>
      </c>
      <c r="T41" s="4">
        <v>0</v>
      </c>
      <c r="U41" s="4">
        <v>0</v>
      </c>
      <c r="V41" s="4" t="s">
        <v>493</v>
      </c>
      <c r="W41" s="4" t="s">
        <v>493</v>
      </c>
      <c r="X41" s="4" t="s">
        <v>493</v>
      </c>
      <c r="Y41" s="4" t="s">
        <v>493</v>
      </c>
      <c r="Z41" s="4">
        <v>0</v>
      </c>
      <c r="AA41" s="4">
        <v>0</v>
      </c>
      <c r="AB41" s="4">
        <v>8</v>
      </c>
      <c r="AC41" s="4">
        <v>5</v>
      </c>
      <c r="AD41" s="4" t="s">
        <v>46</v>
      </c>
      <c r="AE41" s="3" t="s">
        <v>475</v>
      </c>
      <c r="AF41" s="4" t="s">
        <v>323</v>
      </c>
      <c r="AG41" s="4" t="s">
        <v>476</v>
      </c>
      <c r="AH41" s="4">
        <v>10</v>
      </c>
    </row>
    <row r="42" spans="1:34" x14ac:dyDescent="0.3">
      <c r="A42" s="7" t="s">
        <v>575</v>
      </c>
      <c r="B42" s="7" t="s">
        <v>307</v>
      </c>
      <c r="C42" s="7" t="s">
        <v>37</v>
      </c>
      <c r="D42" s="7" t="s">
        <v>555</v>
      </c>
      <c r="E42" s="7" t="s">
        <v>483</v>
      </c>
      <c r="F42" s="7" t="s">
        <v>484</v>
      </c>
      <c r="G42" s="7" t="s">
        <v>491</v>
      </c>
      <c r="H42" s="7" t="s">
        <v>473</v>
      </c>
      <c r="I42" s="7">
        <v>10</v>
      </c>
      <c r="J42" s="7">
        <v>9</v>
      </c>
      <c r="K42" s="7">
        <v>0</v>
      </c>
      <c r="L42" s="7">
        <v>355</v>
      </c>
      <c r="M42" s="7">
        <v>40</v>
      </c>
      <c r="N42" s="7">
        <v>39.44</v>
      </c>
      <c r="O42" s="7">
        <v>126.55</v>
      </c>
      <c r="P42" s="7">
        <v>0</v>
      </c>
      <c r="Q42" s="7">
        <v>0</v>
      </c>
      <c r="R42" s="7">
        <v>38</v>
      </c>
      <c r="S42" s="7">
        <v>39</v>
      </c>
      <c r="T42" s="7">
        <v>0</v>
      </c>
      <c r="U42" s="7">
        <v>14</v>
      </c>
      <c r="V42" s="7">
        <v>16.98</v>
      </c>
      <c r="W42" s="7">
        <v>7.04</v>
      </c>
      <c r="X42" s="7">
        <v>10.07</v>
      </c>
      <c r="Y42" s="7" t="s">
        <v>576</v>
      </c>
      <c r="Z42" s="7">
        <v>0</v>
      </c>
      <c r="AA42" s="7">
        <v>30.6</v>
      </c>
      <c r="AB42" s="7">
        <v>2</v>
      </c>
      <c r="AC42" s="7">
        <v>0</v>
      </c>
      <c r="AD42" s="7" t="s">
        <v>38</v>
      </c>
      <c r="AE42" s="3" t="s">
        <v>475</v>
      </c>
      <c r="AF42" s="7" t="s">
        <v>34</v>
      </c>
      <c r="AG42" s="7" t="s">
        <v>476</v>
      </c>
      <c r="AH42" s="7">
        <v>0.75</v>
      </c>
    </row>
    <row r="43" spans="1:34" x14ac:dyDescent="0.3">
      <c r="A43" s="4" t="s">
        <v>577</v>
      </c>
      <c r="B43" s="4" t="s">
        <v>578</v>
      </c>
      <c r="C43" s="4" t="s">
        <v>37</v>
      </c>
      <c r="D43" s="4" t="s">
        <v>555</v>
      </c>
      <c r="E43" s="4" t="s">
        <v>470</v>
      </c>
      <c r="F43" s="4" t="s">
        <v>490</v>
      </c>
      <c r="G43" s="4" t="s">
        <v>491</v>
      </c>
      <c r="H43" s="4" t="s">
        <v>492</v>
      </c>
      <c r="I43" s="4">
        <v>13</v>
      </c>
      <c r="J43" s="4">
        <v>12</v>
      </c>
      <c r="K43" s="4">
        <v>3</v>
      </c>
      <c r="L43" s="4">
        <v>320</v>
      </c>
      <c r="M43" s="4">
        <v>107</v>
      </c>
      <c r="N43" s="4">
        <v>35.56</v>
      </c>
      <c r="O43" s="4">
        <v>119.85</v>
      </c>
      <c r="P43" s="4">
        <v>0</v>
      </c>
      <c r="Q43" s="4">
        <v>0</v>
      </c>
      <c r="R43" s="4">
        <v>41</v>
      </c>
      <c r="S43" s="4">
        <v>24</v>
      </c>
      <c r="T43" s="4">
        <v>0</v>
      </c>
      <c r="U43" s="4">
        <v>0</v>
      </c>
      <c r="V43" s="4" t="s">
        <v>493</v>
      </c>
      <c r="W43" s="4" t="s">
        <v>493</v>
      </c>
      <c r="X43" s="4" t="s">
        <v>493</v>
      </c>
      <c r="Y43" s="4" t="s">
        <v>493</v>
      </c>
      <c r="Z43" s="4">
        <v>0</v>
      </c>
      <c r="AA43" s="4">
        <v>0</v>
      </c>
      <c r="AB43" s="4">
        <v>13</v>
      </c>
      <c r="AC43" s="4">
        <v>0</v>
      </c>
      <c r="AD43" s="4" t="s">
        <v>38</v>
      </c>
      <c r="AE43" s="3" t="s">
        <v>475</v>
      </c>
      <c r="AF43" s="4" t="s">
        <v>284</v>
      </c>
      <c r="AG43" s="4" t="s">
        <v>476</v>
      </c>
      <c r="AH43" s="4">
        <v>7.5</v>
      </c>
    </row>
    <row r="44" spans="1:34" x14ac:dyDescent="0.3">
      <c r="A44" s="7" t="s">
        <v>579</v>
      </c>
      <c r="B44" s="7" t="s">
        <v>580</v>
      </c>
      <c r="C44" s="7" t="s">
        <v>37</v>
      </c>
      <c r="D44" s="7" t="s">
        <v>555</v>
      </c>
      <c r="E44" s="7" t="s">
        <v>483</v>
      </c>
      <c r="F44" s="7" t="s">
        <v>484</v>
      </c>
      <c r="G44" s="7" t="s">
        <v>472</v>
      </c>
      <c r="H44" s="7" t="s">
        <v>480</v>
      </c>
      <c r="I44" s="7">
        <v>13</v>
      </c>
      <c r="J44" s="7">
        <v>13</v>
      </c>
      <c r="K44" s="7">
        <v>1</v>
      </c>
      <c r="L44" s="7">
        <v>645</v>
      </c>
      <c r="M44" s="7">
        <v>54</v>
      </c>
      <c r="N44" s="7">
        <v>53.75</v>
      </c>
      <c r="O44" s="7">
        <v>147.24</v>
      </c>
      <c r="P44" s="7">
        <v>1</v>
      </c>
      <c r="Q44" s="7">
        <v>0</v>
      </c>
      <c r="R44" s="7">
        <v>84</v>
      </c>
      <c r="S44" s="7">
        <v>49</v>
      </c>
      <c r="T44" s="7">
        <v>0</v>
      </c>
      <c r="U44" s="7">
        <v>6</v>
      </c>
      <c r="V44" s="7">
        <v>34.61</v>
      </c>
      <c r="W44" s="7">
        <v>7.28</v>
      </c>
      <c r="X44" s="7">
        <v>18.61</v>
      </c>
      <c r="Y44" s="7" t="s">
        <v>581</v>
      </c>
      <c r="Z44" s="7">
        <v>0</v>
      </c>
      <c r="AA44" s="7">
        <v>42.9</v>
      </c>
      <c r="AB44" s="7">
        <v>8</v>
      </c>
      <c r="AC44" s="7">
        <v>0</v>
      </c>
      <c r="AD44" s="7" t="s">
        <v>46</v>
      </c>
      <c r="AE44" s="3" t="s">
        <v>475</v>
      </c>
      <c r="AF44" s="7" t="s">
        <v>103</v>
      </c>
      <c r="AG44" s="7" t="s">
        <v>476</v>
      </c>
      <c r="AH44" s="7">
        <v>2</v>
      </c>
    </row>
    <row r="45" spans="1:34" x14ac:dyDescent="0.3">
      <c r="A45" s="4" t="s">
        <v>582</v>
      </c>
      <c r="B45" s="4" t="s">
        <v>432</v>
      </c>
      <c r="C45" s="4" t="s">
        <v>37</v>
      </c>
      <c r="D45" s="4" t="s">
        <v>555</v>
      </c>
      <c r="E45" s="4" t="s">
        <v>483</v>
      </c>
      <c r="F45" s="4" t="s">
        <v>484</v>
      </c>
      <c r="G45" s="4" t="s">
        <v>472</v>
      </c>
      <c r="H45" s="4" t="s">
        <v>473</v>
      </c>
      <c r="I45" s="4">
        <v>12</v>
      </c>
      <c r="J45" s="4">
        <v>11</v>
      </c>
      <c r="K45" s="4">
        <v>1</v>
      </c>
      <c r="L45" s="4">
        <v>180</v>
      </c>
      <c r="M45" s="4">
        <v>54</v>
      </c>
      <c r="N45" s="4">
        <v>18</v>
      </c>
      <c r="O45" s="4">
        <v>184.52</v>
      </c>
      <c r="P45" s="4">
        <v>0</v>
      </c>
      <c r="Q45" s="4">
        <v>0</v>
      </c>
      <c r="R45" s="4">
        <v>22</v>
      </c>
      <c r="S45" s="4">
        <v>20</v>
      </c>
      <c r="T45" s="4">
        <v>0</v>
      </c>
      <c r="U45" s="4">
        <v>9</v>
      </c>
      <c r="V45" s="4">
        <v>23.67</v>
      </c>
      <c r="W45" s="4">
        <v>6.84</v>
      </c>
      <c r="X45" s="4">
        <v>21.64</v>
      </c>
      <c r="Y45" s="4" t="s">
        <v>583</v>
      </c>
      <c r="Z45" s="4">
        <v>0</v>
      </c>
      <c r="AA45" s="4">
        <v>41.9</v>
      </c>
      <c r="AB45" s="4">
        <v>12</v>
      </c>
      <c r="AC45" s="4">
        <v>0</v>
      </c>
      <c r="AD45" s="4" t="s">
        <v>81</v>
      </c>
      <c r="AE45" s="8" t="s">
        <v>486</v>
      </c>
      <c r="AF45" s="4" t="s">
        <v>235</v>
      </c>
      <c r="AG45" s="4" t="s">
        <v>476</v>
      </c>
      <c r="AH45" s="4">
        <v>18</v>
      </c>
    </row>
    <row r="46" spans="1:34" x14ac:dyDescent="0.3">
      <c r="A46" s="7" t="s">
        <v>584</v>
      </c>
      <c r="B46" s="7" t="s">
        <v>288</v>
      </c>
      <c r="C46" s="7" t="s">
        <v>37</v>
      </c>
      <c r="D46" s="7" t="s">
        <v>555</v>
      </c>
      <c r="E46" s="7" t="s">
        <v>483</v>
      </c>
      <c r="F46" s="7" t="s">
        <v>471</v>
      </c>
      <c r="G46" s="7" t="s">
        <v>491</v>
      </c>
      <c r="H46" s="7" t="s">
        <v>514</v>
      </c>
      <c r="I46" s="7">
        <v>13</v>
      </c>
      <c r="J46" s="7">
        <v>12</v>
      </c>
      <c r="K46" s="7">
        <v>1</v>
      </c>
      <c r="L46" s="7">
        <v>100</v>
      </c>
      <c r="M46" s="7">
        <v>17</v>
      </c>
      <c r="N46" s="7">
        <v>9.09</v>
      </c>
      <c r="O46" s="7">
        <v>124.13</v>
      </c>
      <c r="P46" s="7">
        <v>0</v>
      </c>
      <c r="Q46" s="7">
        <v>0</v>
      </c>
      <c r="R46" s="7">
        <v>8</v>
      </c>
      <c r="S46" s="7">
        <v>5</v>
      </c>
      <c r="T46" s="7">
        <v>0</v>
      </c>
      <c r="U46" s="7">
        <v>31</v>
      </c>
      <c r="V46" s="7">
        <v>26.69</v>
      </c>
      <c r="W46" s="7">
        <v>7.88</v>
      </c>
      <c r="X46" s="7">
        <v>19.760000000000002</v>
      </c>
      <c r="Y46" s="7" t="s">
        <v>585</v>
      </c>
      <c r="Z46" s="7">
        <v>0</v>
      </c>
      <c r="AA46" s="7">
        <v>37.299999999999997</v>
      </c>
      <c r="AB46" s="7">
        <v>11</v>
      </c>
      <c r="AC46" s="7">
        <v>0</v>
      </c>
      <c r="AD46" s="7" t="s">
        <v>142</v>
      </c>
      <c r="AE46" s="3" t="s">
        <v>475</v>
      </c>
      <c r="AF46" s="7" t="s">
        <v>274</v>
      </c>
      <c r="AG46" s="7" t="s">
        <v>502</v>
      </c>
      <c r="AH46" s="7">
        <v>21</v>
      </c>
    </row>
    <row r="47" spans="1:34" x14ac:dyDescent="0.3">
      <c r="A47" s="4" t="s">
        <v>586</v>
      </c>
      <c r="B47" s="4" t="s">
        <v>587</v>
      </c>
      <c r="C47" s="4" t="s">
        <v>55</v>
      </c>
      <c r="D47" s="4" t="s">
        <v>588</v>
      </c>
      <c r="E47" s="4" t="s">
        <v>589</v>
      </c>
      <c r="F47" s="4" t="s">
        <v>471</v>
      </c>
      <c r="G47" s="4" t="s">
        <v>472</v>
      </c>
      <c r="H47" s="4" t="s">
        <v>556</v>
      </c>
      <c r="I47" s="4">
        <v>11</v>
      </c>
      <c r="J47" s="4">
        <v>11</v>
      </c>
      <c r="K47" s="4">
        <v>0</v>
      </c>
      <c r="L47" s="4">
        <v>282</v>
      </c>
      <c r="M47" s="4">
        <v>36</v>
      </c>
      <c r="N47" s="4">
        <v>25.64</v>
      </c>
      <c r="O47" s="4">
        <v>126.65</v>
      </c>
      <c r="P47" s="4">
        <v>0</v>
      </c>
      <c r="Q47" s="4">
        <v>0</v>
      </c>
      <c r="R47" s="4">
        <v>23</v>
      </c>
      <c r="S47" s="4">
        <v>14</v>
      </c>
      <c r="T47" s="4">
        <v>1</v>
      </c>
      <c r="U47" s="4">
        <v>12</v>
      </c>
      <c r="V47" s="4">
        <v>15</v>
      </c>
      <c r="W47" s="4">
        <v>8.02</v>
      </c>
      <c r="X47" s="4">
        <v>10.6</v>
      </c>
      <c r="Y47" s="4" t="s">
        <v>590</v>
      </c>
      <c r="Z47" s="4">
        <v>0</v>
      </c>
      <c r="AA47" s="4">
        <v>40.4</v>
      </c>
      <c r="AB47" s="4">
        <v>4</v>
      </c>
      <c r="AC47" s="4">
        <v>0</v>
      </c>
      <c r="AD47" s="4" t="s">
        <v>19</v>
      </c>
      <c r="AE47" s="3" t="s">
        <v>475</v>
      </c>
      <c r="AF47" s="4" t="s">
        <v>147</v>
      </c>
      <c r="AG47" s="4" t="s">
        <v>476</v>
      </c>
      <c r="AH47" s="4">
        <v>7.5</v>
      </c>
    </row>
    <row r="48" spans="1:34" x14ac:dyDescent="0.3">
      <c r="A48" s="7" t="s">
        <v>591</v>
      </c>
      <c r="B48" s="7" t="s">
        <v>592</v>
      </c>
      <c r="C48" s="7" t="s">
        <v>55</v>
      </c>
      <c r="D48" s="7" t="s">
        <v>588</v>
      </c>
      <c r="E48" s="7" t="s">
        <v>483</v>
      </c>
      <c r="F48" s="7" t="s">
        <v>484</v>
      </c>
      <c r="G48" s="7" t="s">
        <v>491</v>
      </c>
      <c r="H48" s="7" t="s">
        <v>500</v>
      </c>
      <c r="I48" s="7">
        <v>14</v>
      </c>
      <c r="J48" s="7">
        <v>14</v>
      </c>
      <c r="K48" s="7">
        <v>0</v>
      </c>
      <c r="L48" s="7">
        <v>259</v>
      </c>
      <c r="M48" s="7">
        <v>112</v>
      </c>
      <c r="N48" s="7">
        <v>18.5</v>
      </c>
      <c r="O48" s="7">
        <v>163.21</v>
      </c>
      <c r="P48" s="7">
        <v>0</v>
      </c>
      <c r="Q48" s="7">
        <v>0</v>
      </c>
      <c r="R48" s="7">
        <v>28</v>
      </c>
      <c r="S48" s="7">
        <v>17</v>
      </c>
      <c r="T48" s="7">
        <v>0</v>
      </c>
      <c r="U48" s="7">
        <v>20</v>
      </c>
      <c r="V48" s="7">
        <v>15.3</v>
      </c>
      <c r="W48" s="7">
        <v>7.37</v>
      </c>
      <c r="X48" s="7">
        <v>18.39</v>
      </c>
      <c r="Y48" s="7" t="s">
        <v>593</v>
      </c>
      <c r="Z48" s="7">
        <v>0</v>
      </c>
      <c r="AA48" s="7">
        <v>50</v>
      </c>
      <c r="AB48" s="7">
        <v>15</v>
      </c>
      <c r="AC48" s="7">
        <v>0</v>
      </c>
      <c r="AD48" s="7" t="s">
        <v>46</v>
      </c>
      <c r="AE48" s="3" t="s">
        <v>475</v>
      </c>
      <c r="AF48" s="7" t="s">
        <v>165</v>
      </c>
      <c r="AG48" s="7" t="s">
        <v>476</v>
      </c>
      <c r="AH48" s="7">
        <v>15</v>
      </c>
    </row>
    <row r="49" spans="1:34" x14ac:dyDescent="0.3">
      <c r="A49" s="4" t="s">
        <v>594</v>
      </c>
      <c r="B49" s="4" t="s">
        <v>332</v>
      </c>
      <c r="C49" s="4" t="s">
        <v>55</v>
      </c>
      <c r="D49" s="4" t="s">
        <v>588</v>
      </c>
      <c r="E49" s="4" t="s">
        <v>470</v>
      </c>
      <c r="F49" s="4" t="s">
        <v>484</v>
      </c>
      <c r="G49" s="4" t="s">
        <v>491</v>
      </c>
      <c r="H49" s="4" t="s">
        <v>516</v>
      </c>
      <c r="I49" s="4">
        <v>10</v>
      </c>
      <c r="J49" s="4">
        <v>10</v>
      </c>
      <c r="K49" s="4">
        <v>3</v>
      </c>
      <c r="L49" s="4">
        <v>207</v>
      </c>
      <c r="M49" s="4">
        <v>46</v>
      </c>
      <c r="N49" s="4">
        <v>29.57</v>
      </c>
      <c r="O49" s="4">
        <v>155.16999999999999</v>
      </c>
      <c r="P49" s="4">
        <v>0</v>
      </c>
      <c r="Q49" s="4">
        <v>0</v>
      </c>
      <c r="R49" s="4">
        <v>22</v>
      </c>
      <c r="S49" s="4">
        <v>11</v>
      </c>
      <c r="T49" s="4">
        <v>0</v>
      </c>
      <c r="U49" s="4">
        <v>2</v>
      </c>
      <c r="V49" s="4">
        <v>17.36</v>
      </c>
      <c r="W49" s="4">
        <v>9.74</v>
      </c>
      <c r="X49" s="4">
        <v>18.89</v>
      </c>
      <c r="Y49" s="4" t="s">
        <v>595</v>
      </c>
      <c r="Z49" s="4">
        <v>0</v>
      </c>
      <c r="AA49" s="4">
        <v>25.7</v>
      </c>
      <c r="AB49" s="4">
        <v>6</v>
      </c>
      <c r="AC49" s="4">
        <v>0</v>
      </c>
      <c r="AD49" s="4" t="s">
        <v>47</v>
      </c>
      <c r="AE49" s="3" t="s">
        <v>475</v>
      </c>
      <c r="AF49" s="4" t="s">
        <v>181</v>
      </c>
      <c r="AG49" s="4" t="s">
        <v>476</v>
      </c>
      <c r="AH49" s="4">
        <v>0.4</v>
      </c>
    </row>
    <row r="50" spans="1:34" x14ac:dyDescent="0.3">
      <c r="A50" s="7" t="s">
        <v>596</v>
      </c>
      <c r="B50" s="7" t="s">
        <v>223</v>
      </c>
      <c r="C50" s="7" t="s">
        <v>55</v>
      </c>
      <c r="D50" s="7" t="s">
        <v>588</v>
      </c>
      <c r="E50" s="7" t="s">
        <v>597</v>
      </c>
      <c r="F50" s="7" t="s">
        <v>505</v>
      </c>
      <c r="G50" s="7" t="s">
        <v>491</v>
      </c>
      <c r="H50" s="7" t="s">
        <v>492</v>
      </c>
      <c r="I50" s="7">
        <v>10</v>
      </c>
      <c r="J50" s="7">
        <v>8</v>
      </c>
      <c r="K50" s="7">
        <v>3</v>
      </c>
      <c r="L50" s="7">
        <v>140</v>
      </c>
      <c r="M50" s="7">
        <v>81</v>
      </c>
      <c r="N50" s="7">
        <v>28</v>
      </c>
      <c r="O50" s="7">
        <v>132.13</v>
      </c>
      <c r="P50" s="7">
        <v>0</v>
      </c>
      <c r="Q50" s="7">
        <v>0</v>
      </c>
      <c r="R50" s="7">
        <v>18</v>
      </c>
      <c r="S50" s="7">
        <v>6</v>
      </c>
      <c r="T50" s="7">
        <v>0</v>
      </c>
      <c r="U50" s="7">
        <v>0</v>
      </c>
      <c r="V50" s="7" t="s">
        <v>493</v>
      </c>
      <c r="W50" s="7" t="s">
        <v>493</v>
      </c>
      <c r="X50" s="7" t="s">
        <v>493</v>
      </c>
      <c r="Y50" s="7" t="s">
        <v>493</v>
      </c>
      <c r="Z50" s="7">
        <v>0</v>
      </c>
      <c r="AA50" s="7">
        <v>0</v>
      </c>
      <c r="AB50" s="7">
        <v>8</v>
      </c>
      <c r="AC50" s="7">
        <v>2</v>
      </c>
      <c r="AD50" s="7" t="s">
        <v>37</v>
      </c>
      <c r="AE50" s="3" t="s">
        <v>475</v>
      </c>
      <c r="AF50" s="7" t="s">
        <v>343</v>
      </c>
      <c r="AG50" s="7" t="s">
        <v>476</v>
      </c>
      <c r="AH50" s="7">
        <v>1</v>
      </c>
    </row>
    <row r="51" spans="1:34" x14ac:dyDescent="0.3">
      <c r="A51" s="4" t="s">
        <v>598</v>
      </c>
      <c r="B51" s="4" t="s">
        <v>152</v>
      </c>
      <c r="C51" s="4" t="s">
        <v>55</v>
      </c>
      <c r="D51" s="4" t="s">
        <v>588</v>
      </c>
      <c r="E51" s="4" t="s">
        <v>483</v>
      </c>
      <c r="F51" s="4" t="s">
        <v>484</v>
      </c>
      <c r="G51" s="4" t="s">
        <v>491</v>
      </c>
      <c r="H51" s="4" t="s">
        <v>556</v>
      </c>
      <c r="I51" s="4">
        <v>14</v>
      </c>
      <c r="J51" s="4">
        <v>13</v>
      </c>
      <c r="K51" s="4">
        <v>2</v>
      </c>
      <c r="L51" s="4">
        <v>494</v>
      </c>
      <c r="M51" s="4">
        <v>37</v>
      </c>
      <c r="N51" s="4">
        <v>44.91</v>
      </c>
      <c r="O51" s="4">
        <v>164.49</v>
      </c>
      <c r="P51" s="4">
        <v>0</v>
      </c>
      <c r="Q51" s="4">
        <v>0</v>
      </c>
      <c r="R51" s="4">
        <v>67</v>
      </c>
      <c r="S51" s="4">
        <v>25</v>
      </c>
      <c r="T51" s="4">
        <v>0</v>
      </c>
      <c r="U51" s="4">
        <v>8</v>
      </c>
      <c r="V51" s="4">
        <v>24.43</v>
      </c>
      <c r="W51" s="4">
        <v>9.48</v>
      </c>
      <c r="X51" s="4">
        <v>16.11</v>
      </c>
      <c r="Y51" s="4" t="s">
        <v>599</v>
      </c>
      <c r="Z51" s="4">
        <v>0</v>
      </c>
      <c r="AA51" s="4">
        <v>49.1</v>
      </c>
      <c r="AB51" s="4">
        <v>11</v>
      </c>
      <c r="AC51" s="4">
        <v>0</v>
      </c>
      <c r="AD51" s="4" t="s">
        <v>38</v>
      </c>
      <c r="AE51" s="8" t="s">
        <v>486</v>
      </c>
      <c r="AF51" s="4" t="s">
        <v>381</v>
      </c>
      <c r="AG51" s="4" t="s">
        <v>502</v>
      </c>
      <c r="AH51" s="4">
        <v>0.4</v>
      </c>
    </row>
    <row r="52" spans="1:34" x14ac:dyDescent="0.3">
      <c r="A52" s="7" t="s">
        <v>600</v>
      </c>
      <c r="B52" s="7" t="s">
        <v>601</v>
      </c>
      <c r="C52" s="7" t="s">
        <v>55</v>
      </c>
      <c r="D52" s="7" t="s">
        <v>588</v>
      </c>
      <c r="E52" s="7" t="s">
        <v>483</v>
      </c>
      <c r="F52" s="7" t="s">
        <v>471</v>
      </c>
      <c r="G52" s="7" t="s">
        <v>472</v>
      </c>
      <c r="H52" s="7" t="s">
        <v>514</v>
      </c>
      <c r="I52" s="7">
        <v>8</v>
      </c>
      <c r="J52" s="7">
        <v>7</v>
      </c>
      <c r="K52" s="7">
        <v>3</v>
      </c>
      <c r="L52" s="7">
        <v>80</v>
      </c>
      <c r="M52" s="7">
        <v>18</v>
      </c>
      <c r="N52" s="7">
        <v>20</v>
      </c>
      <c r="O52" s="7">
        <v>104.74</v>
      </c>
      <c r="P52" s="7">
        <v>0</v>
      </c>
      <c r="Q52" s="7">
        <v>0</v>
      </c>
      <c r="R52" s="7">
        <v>6</v>
      </c>
      <c r="S52" s="7">
        <v>4</v>
      </c>
      <c r="T52" s="7">
        <v>2</v>
      </c>
      <c r="U52" s="7">
        <v>7</v>
      </c>
      <c r="V52" s="7">
        <v>31.15</v>
      </c>
      <c r="W52" s="7">
        <v>10.06</v>
      </c>
      <c r="X52" s="7">
        <v>15.87</v>
      </c>
      <c r="Y52" s="7" t="s">
        <v>583</v>
      </c>
      <c r="Z52" s="7">
        <v>0</v>
      </c>
      <c r="AA52" s="7">
        <v>29.7</v>
      </c>
      <c r="AB52" s="7">
        <v>3</v>
      </c>
      <c r="AC52" s="7">
        <v>0</v>
      </c>
      <c r="AD52" s="7" t="s">
        <v>142</v>
      </c>
      <c r="AE52" s="3" t="s">
        <v>475</v>
      </c>
      <c r="AF52" s="7" t="s">
        <v>328</v>
      </c>
      <c r="AG52" s="7" t="s">
        <v>476</v>
      </c>
      <c r="AH52" s="7">
        <v>1</v>
      </c>
    </row>
    <row r="53" spans="1:34" x14ac:dyDescent="0.3">
      <c r="A53" s="4" t="s">
        <v>602</v>
      </c>
      <c r="B53" s="4" t="s">
        <v>356</v>
      </c>
      <c r="C53" s="4" t="s">
        <v>55</v>
      </c>
      <c r="D53" s="4" t="s">
        <v>588</v>
      </c>
      <c r="E53" s="4" t="s">
        <v>603</v>
      </c>
      <c r="F53" s="4" t="s">
        <v>471</v>
      </c>
      <c r="G53" s="4" t="s">
        <v>491</v>
      </c>
      <c r="H53" s="4" t="s">
        <v>473</v>
      </c>
      <c r="I53" s="4">
        <v>9</v>
      </c>
      <c r="J53" s="4">
        <v>8</v>
      </c>
      <c r="K53" s="4">
        <v>2</v>
      </c>
      <c r="L53" s="4">
        <v>48</v>
      </c>
      <c r="M53" s="4">
        <v>12</v>
      </c>
      <c r="N53" s="4">
        <v>8</v>
      </c>
      <c r="O53" s="4">
        <v>86.1</v>
      </c>
      <c r="P53" s="4">
        <v>0</v>
      </c>
      <c r="Q53" s="4">
        <v>0</v>
      </c>
      <c r="R53" s="4">
        <v>4</v>
      </c>
      <c r="S53" s="4">
        <v>2</v>
      </c>
      <c r="T53" s="4">
        <v>1</v>
      </c>
      <c r="U53" s="4">
        <v>7</v>
      </c>
      <c r="V53" s="4">
        <v>27.59</v>
      </c>
      <c r="W53" s="4">
        <v>9.11</v>
      </c>
      <c r="X53" s="4">
        <v>20.6</v>
      </c>
      <c r="Y53" s="4" t="s">
        <v>604</v>
      </c>
      <c r="Z53" s="4">
        <v>0</v>
      </c>
      <c r="AA53" s="4">
        <v>31.4</v>
      </c>
      <c r="AB53" s="4">
        <v>6</v>
      </c>
      <c r="AC53" s="4">
        <v>0</v>
      </c>
      <c r="AD53" s="4" t="s">
        <v>81</v>
      </c>
      <c r="AE53" s="3" t="s">
        <v>475</v>
      </c>
      <c r="AF53" s="4" t="s">
        <v>176</v>
      </c>
      <c r="AG53" s="4" t="s">
        <v>476</v>
      </c>
      <c r="AH53" s="4">
        <v>10</v>
      </c>
    </row>
    <row r="54" spans="1:34" x14ac:dyDescent="0.3">
      <c r="A54" s="7" t="s">
        <v>605</v>
      </c>
      <c r="B54" s="7" t="s">
        <v>170</v>
      </c>
      <c r="C54" s="7" t="s">
        <v>55</v>
      </c>
      <c r="D54" s="7" t="s">
        <v>588</v>
      </c>
      <c r="E54" s="7" t="s">
        <v>483</v>
      </c>
      <c r="F54" s="7" t="s">
        <v>490</v>
      </c>
      <c r="G54" s="7" t="s">
        <v>472</v>
      </c>
      <c r="H54" s="7" t="s">
        <v>492</v>
      </c>
      <c r="I54" s="7">
        <v>13</v>
      </c>
      <c r="J54" s="7">
        <v>13</v>
      </c>
      <c r="K54" s="7">
        <v>2</v>
      </c>
      <c r="L54" s="7">
        <v>596</v>
      </c>
      <c r="M54" s="7">
        <v>59</v>
      </c>
      <c r="N54" s="7">
        <v>54.18</v>
      </c>
      <c r="O54" s="7">
        <v>126.16</v>
      </c>
      <c r="P54" s="7">
        <v>0</v>
      </c>
      <c r="Q54" s="7">
        <v>0</v>
      </c>
      <c r="R54" s="7">
        <v>56</v>
      </c>
      <c r="S54" s="7">
        <v>50</v>
      </c>
      <c r="T54" s="7">
        <v>0</v>
      </c>
      <c r="U54" s="7">
        <v>0</v>
      </c>
      <c r="V54" s="7" t="s">
        <v>493</v>
      </c>
      <c r="W54" s="7" t="s">
        <v>493</v>
      </c>
      <c r="X54" s="7" t="s">
        <v>493</v>
      </c>
      <c r="Y54" s="7" t="s">
        <v>493</v>
      </c>
      <c r="Z54" s="7">
        <v>0</v>
      </c>
      <c r="AA54" s="7">
        <v>0</v>
      </c>
      <c r="AB54" s="7">
        <v>9</v>
      </c>
      <c r="AC54" s="7">
        <v>0</v>
      </c>
      <c r="AD54" s="7" t="s">
        <v>37</v>
      </c>
      <c r="AE54" s="8" t="s">
        <v>486</v>
      </c>
      <c r="AF54" s="7" t="s">
        <v>303</v>
      </c>
      <c r="AG54" s="7" t="s">
        <v>476</v>
      </c>
      <c r="AH54" s="7">
        <v>3</v>
      </c>
    </row>
    <row r="55" spans="1:34" x14ac:dyDescent="0.3">
      <c r="A55" s="4" t="s">
        <v>606</v>
      </c>
      <c r="B55" s="4" t="s">
        <v>186</v>
      </c>
      <c r="C55" s="4" t="s">
        <v>55</v>
      </c>
      <c r="D55" s="4" t="s">
        <v>588</v>
      </c>
      <c r="E55" s="4" t="s">
        <v>483</v>
      </c>
      <c r="F55" s="4" t="s">
        <v>490</v>
      </c>
      <c r="G55" s="4" t="s">
        <v>491</v>
      </c>
      <c r="H55" s="4" t="s">
        <v>492</v>
      </c>
      <c r="I55" s="4">
        <v>8</v>
      </c>
      <c r="J55" s="4">
        <v>8</v>
      </c>
      <c r="K55" s="4">
        <v>1</v>
      </c>
      <c r="L55" s="4">
        <v>320</v>
      </c>
      <c r="M55" s="4">
        <v>41</v>
      </c>
      <c r="N55" s="4">
        <v>45.71</v>
      </c>
      <c r="O55" s="4">
        <v>136.47999999999999</v>
      </c>
      <c r="P55" s="4">
        <v>0</v>
      </c>
      <c r="Q55" s="4">
        <v>0</v>
      </c>
      <c r="R55" s="4">
        <v>37</v>
      </c>
      <c r="S55" s="4">
        <v>23</v>
      </c>
      <c r="T55" s="4">
        <v>0</v>
      </c>
      <c r="U55" s="4">
        <v>0</v>
      </c>
      <c r="V55" s="4" t="s">
        <v>493</v>
      </c>
      <c r="W55" s="4" t="s">
        <v>493</v>
      </c>
      <c r="X55" s="4" t="s">
        <v>493</v>
      </c>
      <c r="Y55" s="4" t="s">
        <v>493</v>
      </c>
      <c r="Z55" s="4">
        <v>0</v>
      </c>
      <c r="AA55" s="4">
        <v>0</v>
      </c>
      <c r="AB55" s="4">
        <v>5</v>
      </c>
      <c r="AC55" s="4">
        <v>0</v>
      </c>
      <c r="AD55" s="4" t="s">
        <v>19</v>
      </c>
      <c r="AE55" s="3" t="s">
        <v>475</v>
      </c>
      <c r="AF55" s="4" t="s">
        <v>147</v>
      </c>
      <c r="AG55" s="4" t="s">
        <v>476</v>
      </c>
      <c r="AH55" s="4">
        <v>1</v>
      </c>
    </row>
    <row r="56" spans="1:34" x14ac:dyDescent="0.3">
      <c r="A56" s="7" t="s">
        <v>607</v>
      </c>
      <c r="B56" s="7" t="s">
        <v>180</v>
      </c>
      <c r="C56" s="7" t="s">
        <v>55</v>
      </c>
      <c r="D56" s="7" t="s">
        <v>588</v>
      </c>
      <c r="E56" s="7" t="s">
        <v>483</v>
      </c>
      <c r="F56" s="7" t="s">
        <v>490</v>
      </c>
      <c r="G56" s="7" t="s">
        <v>491</v>
      </c>
      <c r="H56" s="7" t="s">
        <v>492</v>
      </c>
      <c r="I56" s="7">
        <v>13</v>
      </c>
      <c r="J56" s="7">
        <v>11</v>
      </c>
      <c r="K56" s="7">
        <v>3</v>
      </c>
      <c r="L56" s="7">
        <v>405</v>
      </c>
      <c r="M56" s="7">
        <v>118</v>
      </c>
      <c r="N56" s="7">
        <v>50.62</v>
      </c>
      <c r="O56" s="7">
        <v>174.41</v>
      </c>
      <c r="P56" s="7">
        <v>0</v>
      </c>
      <c r="Q56" s="7">
        <v>0</v>
      </c>
      <c r="R56" s="7">
        <v>36</v>
      </c>
      <c r="S56" s="7">
        <v>28</v>
      </c>
      <c r="T56" s="7">
        <v>1</v>
      </c>
      <c r="U56" s="7">
        <v>0</v>
      </c>
      <c r="V56" s="7" t="s">
        <v>493</v>
      </c>
      <c r="W56" s="7" t="s">
        <v>493</v>
      </c>
      <c r="X56" s="7" t="s">
        <v>493</v>
      </c>
      <c r="Y56" s="7" t="s">
        <v>493</v>
      </c>
      <c r="Z56" s="7">
        <v>0</v>
      </c>
      <c r="AA56" s="7">
        <v>0</v>
      </c>
      <c r="AB56" s="7">
        <v>8</v>
      </c>
      <c r="AC56" s="7">
        <v>0</v>
      </c>
      <c r="AD56" s="7" t="s">
        <v>28</v>
      </c>
      <c r="AE56" s="8" t="s">
        <v>486</v>
      </c>
      <c r="AF56" s="7" t="s">
        <v>52</v>
      </c>
      <c r="AG56" s="7" t="s">
        <v>476</v>
      </c>
      <c r="AH56" s="7">
        <v>15</v>
      </c>
    </row>
    <row r="57" spans="1:34" x14ac:dyDescent="0.3">
      <c r="A57" s="4" t="s">
        <v>608</v>
      </c>
      <c r="B57" s="4" t="s">
        <v>609</v>
      </c>
      <c r="C57" s="4" t="s">
        <v>55</v>
      </c>
      <c r="D57" s="4" t="s">
        <v>588</v>
      </c>
      <c r="E57" s="4" t="s">
        <v>483</v>
      </c>
      <c r="F57" s="4" t="s">
        <v>484</v>
      </c>
      <c r="G57" s="4" t="s">
        <v>472</v>
      </c>
      <c r="H57" s="4" t="s">
        <v>516</v>
      </c>
      <c r="I57" s="4">
        <v>9</v>
      </c>
      <c r="J57" s="4">
        <v>9</v>
      </c>
      <c r="K57" s="4">
        <v>2</v>
      </c>
      <c r="L57" s="4">
        <v>339</v>
      </c>
      <c r="M57" s="4">
        <v>94</v>
      </c>
      <c r="N57" s="4">
        <v>48.43</v>
      </c>
      <c r="O57" s="4">
        <v>179.65</v>
      </c>
      <c r="P57" s="4">
        <v>0</v>
      </c>
      <c r="Q57" s="4">
        <v>0</v>
      </c>
      <c r="R57" s="4">
        <v>43</v>
      </c>
      <c r="S57" s="4">
        <v>40</v>
      </c>
      <c r="T57" s="4">
        <v>0</v>
      </c>
      <c r="U57" s="4">
        <v>0</v>
      </c>
      <c r="V57" s="4">
        <v>28.69</v>
      </c>
      <c r="W57" s="4">
        <v>8.9700000000000006</v>
      </c>
      <c r="X57" s="4">
        <v>17.43</v>
      </c>
      <c r="Y57" s="4" t="s">
        <v>610</v>
      </c>
      <c r="Z57" s="4">
        <v>0</v>
      </c>
      <c r="AA57" s="4">
        <v>24</v>
      </c>
      <c r="AB57" s="4">
        <v>2</v>
      </c>
      <c r="AC57" s="4">
        <v>0</v>
      </c>
      <c r="AD57" s="4" t="s">
        <v>19</v>
      </c>
      <c r="AE57" s="3" t="s">
        <v>475</v>
      </c>
      <c r="AF57" s="4" t="s">
        <v>147</v>
      </c>
      <c r="AG57" s="4" t="s">
        <v>476</v>
      </c>
      <c r="AH57" s="4">
        <v>7.5</v>
      </c>
    </row>
    <row r="58" spans="1:34" x14ac:dyDescent="0.3">
      <c r="A58" s="7" t="s">
        <v>611</v>
      </c>
      <c r="B58" s="7" t="s">
        <v>317</v>
      </c>
      <c r="C58" s="7" t="s">
        <v>55</v>
      </c>
      <c r="D58" s="7" t="s">
        <v>588</v>
      </c>
      <c r="E58" s="7" t="s">
        <v>597</v>
      </c>
      <c r="F58" s="7" t="s">
        <v>490</v>
      </c>
      <c r="G58" s="7" t="s">
        <v>472</v>
      </c>
      <c r="H58" s="7" t="s">
        <v>492</v>
      </c>
      <c r="I58" s="7">
        <v>13</v>
      </c>
      <c r="J58" s="7">
        <v>11</v>
      </c>
      <c r="K58" s="7">
        <v>1</v>
      </c>
      <c r="L58" s="7">
        <v>514</v>
      </c>
      <c r="M58" s="7">
        <v>87</v>
      </c>
      <c r="N58" s="7">
        <v>51.4</v>
      </c>
      <c r="O58" s="7">
        <v>147.87</v>
      </c>
      <c r="P58" s="7">
        <v>1</v>
      </c>
      <c r="Q58" s="7">
        <v>0</v>
      </c>
      <c r="R58" s="7">
        <v>54</v>
      </c>
      <c r="S58" s="7">
        <v>21</v>
      </c>
      <c r="T58" s="7">
        <v>1</v>
      </c>
      <c r="U58" s="7">
        <v>0</v>
      </c>
      <c r="V58" s="7" t="s">
        <v>493</v>
      </c>
      <c r="W58" s="7" t="s">
        <v>493</v>
      </c>
      <c r="X58" s="7" t="s">
        <v>493</v>
      </c>
      <c r="Y58" s="7" t="s">
        <v>493</v>
      </c>
      <c r="Z58" s="7">
        <v>0</v>
      </c>
      <c r="AA58" s="7">
        <v>0</v>
      </c>
      <c r="AB58" s="7">
        <v>3</v>
      </c>
      <c r="AC58" s="7">
        <v>0</v>
      </c>
      <c r="AD58" s="7" t="s">
        <v>20</v>
      </c>
      <c r="AE58" s="8" t="s">
        <v>486</v>
      </c>
      <c r="AF58" s="7" t="s">
        <v>411</v>
      </c>
      <c r="AG58" s="7" t="s">
        <v>476</v>
      </c>
      <c r="AH58" s="7">
        <v>5</v>
      </c>
    </row>
    <row r="59" spans="1:34" x14ac:dyDescent="0.3">
      <c r="A59" s="4" t="s">
        <v>612</v>
      </c>
      <c r="B59" s="4" t="s">
        <v>613</v>
      </c>
      <c r="C59" s="4" t="s">
        <v>55</v>
      </c>
      <c r="D59" s="4" t="s">
        <v>588</v>
      </c>
      <c r="E59" s="4" t="s">
        <v>559</v>
      </c>
      <c r="F59" s="4" t="s">
        <v>490</v>
      </c>
      <c r="G59" s="4" t="s">
        <v>472</v>
      </c>
      <c r="H59" s="4" t="s">
        <v>492</v>
      </c>
      <c r="I59" s="4">
        <v>11</v>
      </c>
      <c r="J59" s="4">
        <v>9</v>
      </c>
      <c r="K59" s="4">
        <v>2</v>
      </c>
      <c r="L59" s="4">
        <v>154</v>
      </c>
      <c r="M59" s="4">
        <v>35</v>
      </c>
      <c r="N59" s="4">
        <v>22</v>
      </c>
      <c r="O59" s="4">
        <v>163.15</v>
      </c>
      <c r="P59" s="4">
        <v>0</v>
      </c>
      <c r="Q59" s="4">
        <v>0</v>
      </c>
      <c r="R59" s="4">
        <v>20</v>
      </c>
      <c r="S59" s="4">
        <v>6</v>
      </c>
      <c r="T59" s="4">
        <v>0</v>
      </c>
      <c r="U59" s="4">
        <v>0</v>
      </c>
      <c r="V59" s="4" t="s">
        <v>493</v>
      </c>
      <c r="W59" s="4" t="s">
        <v>493</v>
      </c>
      <c r="X59" s="4" t="s">
        <v>493</v>
      </c>
      <c r="Y59" s="4" t="s">
        <v>493</v>
      </c>
      <c r="Z59" s="4">
        <v>0</v>
      </c>
      <c r="AA59" s="4">
        <v>0</v>
      </c>
      <c r="AB59" s="4">
        <v>3</v>
      </c>
      <c r="AC59" s="4">
        <v>0</v>
      </c>
      <c r="AD59" s="4" t="s">
        <v>37</v>
      </c>
      <c r="AE59" s="3" t="s">
        <v>475</v>
      </c>
      <c r="AF59" s="4" t="s">
        <v>343</v>
      </c>
      <c r="AG59" s="4" t="s">
        <v>476</v>
      </c>
      <c r="AH59" s="4">
        <v>15</v>
      </c>
    </row>
    <row r="60" spans="1:34" x14ac:dyDescent="0.3">
      <c r="A60" s="7" t="s">
        <v>614</v>
      </c>
      <c r="B60" s="7" t="s">
        <v>615</v>
      </c>
      <c r="C60" s="7" t="s">
        <v>55</v>
      </c>
      <c r="D60" s="7" t="s">
        <v>588</v>
      </c>
      <c r="E60" s="7" t="s">
        <v>543</v>
      </c>
      <c r="F60" s="7" t="s">
        <v>484</v>
      </c>
      <c r="G60" s="7" t="s">
        <v>472</v>
      </c>
      <c r="H60" s="7" t="s">
        <v>500</v>
      </c>
      <c r="I60" s="7">
        <v>10</v>
      </c>
      <c r="J60" s="7">
        <v>10</v>
      </c>
      <c r="K60" s="7">
        <v>3</v>
      </c>
      <c r="L60" s="7">
        <v>325</v>
      </c>
      <c r="M60" s="7">
        <v>40</v>
      </c>
      <c r="N60" s="7">
        <v>46.43</v>
      </c>
      <c r="O60" s="7">
        <v>111.14</v>
      </c>
      <c r="P60" s="7">
        <v>0</v>
      </c>
      <c r="Q60" s="7">
        <v>0</v>
      </c>
      <c r="R60" s="7">
        <v>44</v>
      </c>
      <c r="S60" s="7">
        <v>22</v>
      </c>
      <c r="T60" s="7">
        <v>0</v>
      </c>
      <c r="U60" s="7">
        <v>16</v>
      </c>
      <c r="V60" s="7">
        <v>24.26</v>
      </c>
      <c r="W60" s="7">
        <v>9.39</v>
      </c>
      <c r="X60" s="7">
        <v>10.86</v>
      </c>
      <c r="Y60" s="7" t="s">
        <v>616</v>
      </c>
      <c r="Z60" s="7">
        <v>0</v>
      </c>
      <c r="AA60" s="7">
        <v>37.9</v>
      </c>
      <c r="AB60" s="7">
        <v>7</v>
      </c>
      <c r="AC60" s="7">
        <v>0</v>
      </c>
      <c r="AD60" s="7" t="s">
        <v>28</v>
      </c>
      <c r="AE60" s="8" t="s">
        <v>486</v>
      </c>
      <c r="AF60" s="7" t="s">
        <v>52</v>
      </c>
      <c r="AG60" s="7" t="s">
        <v>476</v>
      </c>
      <c r="AH60" s="7">
        <v>4</v>
      </c>
    </row>
    <row r="61" spans="1:34" x14ac:dyDescent="0.3">
      <c r="A61" s="4" t="s">
        <v>617</v>
      </c>
      <c r="B61" s="4" t="s">
        <v>618</v>
      </c>
      <c r="C61" s="4" t="s">
        <v>55</v>
      </c>
      <c r="D61" s="4" t="s">
        <v>588</v>
      </c>
      <c r="E61" s="4" t="s">
        <v>483</v>
      </c>
      <c r="F61" s="4" t="s">
        <v>484</v>
      </c>
      <c r="G61" s="4" t="s">
        <v>472</v>
      </c>
      <c r="H61" s="4" t="s">
        <v>556</v>
      </c>
      <c r="I61" s="4">
        <v>8</v>
      </c>
      <c r="J61" s="4">
        <v>6</v>
      </c>
      <c r="K61" s="4">
        <v>3</v>
      </c>
      <c r="L61" s="4">
        <v>122</v>
      </c>
      <c r="M61" s="4">
        <v>102</v>
      </c>
      <c r="N61" s="4">
        <v>40.67</v>
      </c>
      <c r="O61" s="4">
        <v>167.6</v>
      </c>
      <c r="P61" s="4">
        <v>0</v>
      </c>
      <c r="Q61" s="4">
        <v>0</v>
      </c>
      <c r="R61" s="4">
        <v>14</v>
      </c>
      <c r="S61" s="4">
        <v>13</v>
      </c>
      <c r="T61" s="4">
        <v>0</v>
      </c>
      <c r="U61" s="4">
        <v>3</v>
      </c>
      <c r="V61" s="4">
        <v>17.670000000000002</v>
      </c>
      <c r="W61" s="4">
        <v>6.57</v>
      </c>
      <c r="X61" s="4">
        <v>13.32</v>
      </c>
      <c r="Y61" s="4" t="s">
        <v>619</v>
      </c>
      <c r="Z61" s="4">
        <v>0</v>
      </c>
      <c r="AA61" s="4">
        <v>29.9</v>
      </c>
      <c r="AB61" s="4">
        <v>8</v>
      </c>
      <c r="AC61" s="4">
        <v>0</v>
      </c>
      <c r="AD61" s="4" t="s">
        <v>47</v>
      </c>
      <c r="AE61" s="3" t="s">
        <v>475</v>
      </c>
      <c r="AF61" s="4" t="s">
        <v>181</v>
      </c>
      <c r="AG61" s="4" t="s">
        <v>502</v>
      </c>
      <c r="AH61" s="4">
        <v>18</v>
      </c>
    </row>
    <row r="62" spans="1:34" x14ac:dyDescent="0.3">
      <c r="A62" s="7" t="s">
        <v>620</v>
      </c>
      <c r="B62" s="7" t="s">
        <v>621</v>
      </c>
      <c r="C62" s="7" t="s">
        <v>46</v>
      </c>
      <c r="D62" s="7" t="s">
        <v>622</v>
      </c>
      <c r="E62" s="7" t="s">
        <v>543</v>
      </c>
      <c r="F62" s="7" t="s">
        <v>471</v>
      </c>
      <c r="G62" s="7" t="s">
        <v>472</v>
      </c>
      <c r="H62" s="7" t="s">
        <v>514</v>
      </c>
      <c r="I62" s="7">
        <v>14</v>
      </c>
      <c r="J62" s="7">
        <v>13</v>
      </c>
      <c r="K62" s="7">
        <v>1</v>
      </c>
      <c r="L62" s="7">
        <v>133</v>
      </c>
      <c r="M62" s="7">
        <v>10</v>
      </c>
      <c r="N62" s="7">
        <v>11.08</v>
      </c>
      <c r="O62" s="7">
        <v>122.19</v>
      </c>
      <c r="P62" s="7">
        <v>0</v>
      </c>
      <c r="Q62" s="7">
        <v>0</v>
      </c>
      <c r="R62" s="7">
        <v>11</v>
      </c>
      <c r="S62" s="7">
        <v>6</v>
      </c>
      <c r="T62" s="7">
        <v>1</v>
      </c>
      <c r="U62" s="7">
        <v>15</v>
      </c>
      <c r="V62" s="7">
        <v>18.690000000000001</v>
      </c>
      <c r="W62" s="7">
        <v>9.6199999999999992</v>
      </c>
      <c r="X62" s="7">
        <v>14.4</v>
      </c>
      <c r="Y62" s="7" t="s">
        <v>623</v>
      </c>
      <c r="Z62" s="7">
        <v>0</v>
      </c>
      <c r="AA62" s="7">
        <v>36.200000000000003</v>
      </c>
      <c r="AB62" s="7">
        <v>6</v>
      </c>
      <c r="AC62" s="7">
        <v>0</v>
      </c>
      <c r="AD62" s="7" t="s">
        <v>20</v>
      </c>
      <c r="AE62" s="8" t="s">
        <v>486</v>
      </c>
      <c r="AF62" s="7" t="s">
        <v>115</v>
      </c>
      <c r="AG62" s="7" t="s">
        <v>476</v>
      </c>
      <c r="AH62" s="7">
        <v>18</v>
      </c>
    </row>
    <row r="63" spans="1:34" x14ac:dyDescent="0.3">
      <c r="A63" s="4" t="s">
        <v>624</v>
      </c>
      <c r="B63" s="4" t="s">
        <v>625</v>
      </c>
      <c r="C63" s="4" t="s">
        <v>46</v>
      </c>
      <c r="D63" s="4" t="s">
        <v>622</v>
      </c>
      <c r="E63" s="4" t="s">
        <v>489</v>
      </c>
      <c r="F63" s="4" t="s">
        <v>484</v>
      </c>
      <c r="G63" s="4" t="s">
        <v>472</v>
      </c>
      <c r="H63" s="4" t="s">
        <v>480</v>
      </c>
      <c r="I63" s="4">
        <v>14</v>
      </c>
      <c r="J63" s="4">
        <v>12</v>
      </c>
      <c r="K63" s="4">
        <v>0</v>
      </c>
      <c r="L63" s="4">
        <v>370</v>
      </c>
      <c r="M63" s="4">
        <v>116</v>
      </c>
      <c r="N63" s="4">
        <v>30.83</v>
      </c>
      <c r="O63" s="4">
        <v>176.54</v>
      </c>
      <c r="P63" s="4">
        <v>0</v>
      </c>
      <c r="Q63" s="4">
        <v>0</v>
      </c>
      <c r="R63" s="4">
        <v>36</v>
      </c>
      <c r="S63" s="4">
        <v>18</v>
      </c>
      <c r="T63" s="4">
        <v>1</v>
      </c>
      <c r="U63" s="4">
        <v>8</v>
      </c>
      <c r="V63" s="4">
        <v>21.7</v>
      </c>
      <c r="W63" s="4">
        <v>7.75</v>
      </c>
      <c r="X63" s="4">
        <v>14.72</v>
      </c>
      <c r="Y63" s="4" t="s">
        <v>616</v>
      </c>
      <c r="Z63" s="4">
        <v>0</v>
      </c>
      <c r="AA63" s="4">
        <v>43.8</v>
      </c>
      <c r="AB63" s="4">
        <v>2</v>
      </c>
      <c r="AC63" s="4">
        <v>0</v>
      </c>
      <c r="AD63" s="4" t="s">
        <v>28</v>
      </c>
      <c r="AE63" s="8" t="s">
        <v>486</v>
      </c>
      <c r="AF63" s="4" t="s">
        <v>134</v>
      </c>
      <c r="AG63" s="4" t="s">
        <v>476</v>
      </c>
      <c r="AH63" s="4">
        <v>4</v>
      </c>
    </row>
    <row r="64" spans="1:34" x14ac:dyDescent="0.3">
      <c r="A64" s="7" t="s">
        <v>626</v>
      </c>
      <c r="B64" s="7" t="s">
        <v>627</v>
      </c>
      <c r="C64" s="7" t="s">
        <v>46</v>
      </c>
      <c r="D64" s="7" t="s">
        <v>622</v>
      </c>
      <c r="E64" s="7" t="s">
        <v>483</v>
      </c>
      <c r="F64" s="7" t="s">
        <v>471</v>
      </c>
      <c r="G64" s="7" t="s">
        <v>491</v>
      </c>
      <c r="H64" s="7" t="s">
        <v>556</v>
      </c>
      <c r="I64" s="7">
        <v>12</v>
      </c>
      <c r="J64" s="7">
        <v>10</v>
      </c>
      <c r="K64" s="7">
        <v>1</v>
      </c>
      <c r="L64" s="7">
        <v>25</v>
      </c>
      <c r="M64" s="7">
        <v>7</v>
      </c>
      <c r="N64" s="7">
        <v>2.78</v>
      </c>
      <c r="O64" s="7">
        <v>102.28</v>
      </c>
      <c r="P64" s="7">
        <v>0</v>
      </c>
      <c r="Q64" s="7">
        <v>0</v>
      </c>
      <c r="R64" s="7">
        <v>2</v>
      </c>
      <c r="S64" s="7">
        <v>1</v>
      </c>
      <c r="T64" s="7">
        <v>2</v>
      </c>
      <c r="U64" s="7">
        <v>18</v>
      </c>
      <c r="V64" s="7">
        <v>20.57</v>
      </c>
      <c r="W64" s="7">
        <v>9.49</v>
      </c>
      <c r="X64" s="7">
        <v>16.59</v>
      </c>
      <c r="Y64" s="7" t="s">
        <v>628</v>
      </c>
      <c r="Z64" s="7">
        <v>0</v>
      </c>
      <c r="AA64" s="7">
        <v>43</v>
      </c>
      <c r="AB64" s="7">
        <v>11</v>
      </c>
      <c r="AC64" s="7">
        <v>0</v>
      </c>
      <c r="AD64" s="7" t="s">
        <v>37</v>
      </c>
      <c r="AE64" s="8" t="s">
        <v>486</v>
      </c>
      <c r="AF64" s="7" t="s">
        <v>103</v>
      </c>
      <c r="AG64" s="7" t="s">
        <v>476</v>
      </c>
      <c r="AH64" s="7">
        <v>0.75</v>
      </c>
    </row>
    <row r="65" spans="1:34" x14ac:dyDescent="0.3">
      <c r="A65" s="4" t="s">
        <v>629</v>
      </c>
      <c r="B65" s="4" t="s">
        <v>630</v>
      </c>
      <c r="C65" s="4" t="s">
        <v>46</v>
      </c>
      <c r="D65" s="4" t="s">
        <v>622</v>
      </c>
      <c r="E65" s="4" t="s">
        <v>470</v>
      </c>
      <c r="F65" s="4" t="s">
        <v>484</v>
      </c>
      <c r="G65" s="4" t="s">
        <v>472</v>
      </c>
      <c r="H65" s="4" t="s">
        <v>473</v>
      </c>
      <c r="I65" s="4">
        <v>9</v>
      </c>
      <c r="J65" s="4">
        <v>8</v>
      </c>
      <c r="K65" s="4">
        <v>0</v>
      </c>
      <c r="L65" s="4">
        <v>225</v>
      </c>
      <c r="M65" s="4">
        <v>53</v>
      </c>
      <c r="N65" s="4">
        <v>28.12</v>
      </c>
      <c r="O65" s="4">
        <v>144.66</v>
      </c>
      <c r="P65" s="4">
        <v>0</v>
      </c>
      <c r="Q65" s="4">
        <v>0</v>
      </c>
      <c r="R65" s="4">
        <v>21</v>
      </c>
      <c r="S65" s="4">
        <v>9</v>
      </c>
      <c r="T65" s="4">
        <v>0</v>
      </c>
      <c r="U65" s="4">
        <v>23</v>
      </c>
      <c r="V65" s="4">
        <v>17.63</v>
      </c>
      <c r="W65" s="4">
        <v>9.85</v>
      </c>
      <c r="X65" s="4">
        <v>16.239999999999998</v>
      </c>
      <c r="Y65" s="4" t="s">
        <v>631</v>
      </c>
      <c r="Z65" s="4">
        <v>0</v>
      </c>
      <c r="AA65" s="4">
        <v>30.2</v>
      </c>
      <c r="AB65" s="4">
        <v>6</v>
      </c>
      <c r="AC65" s="4">
        <v>0</v>
      </c>
      <c r="AD65" s="4" t="s">
        <v>81</v>
      </c>
      <c r="AE65" s="8" t="s">
        <v>486</v>
      </c>
      <c r="AF65" s="4" t="s">
        <v>386</v>
      </c>
      <c r="AG65" s="4" t="s">
        <v>476</v>
      </c>
      <c r="AH65" s="4">
        <v>4</v>
      </c>
    </row>
    <row r="66" spans="1:34" x14ac:dyDescent="0.3">
      <c r="A66" s="7" t="s">
        <v>632</v>
      </c>
      <c r="B66" s="7" t="s">
        <v>51</v>
      </c>
      <c r="C66" s="7" t="s">
        <v>46</v>
      </c>
      <c r="D66" s="7" t="s">
        <v>622</v>
      </c>
      <c r="E66" s="7" t="s">
        <v>483</v>
      </c>
      <c r="F66" s="7" t="s">
        <v>490</v>
      </c>
      <c r="G66" s="7" t="s">
        <v>472</v>
      </c>
      <c r="H66" s="7" t="s">
        <v>492</v>
      </c>
      <c r="I66" s="7">
        <v>14</v>
      </c>
      <c r="J66" s="7">
        <v>13</v>
      </c>
      <c r="K66" s="7">
        <v>3</v>
      </c>
      <c r="L66" s="7">
        <v>307</v>
      </c>
      <c r="M66" s="7">
        <v>39</v>
      </c>
      <c r="N66" s="7">
        <v>30.7</v>
      </c>
      <c r="O66" s="7">
        <v>127.2</v>
      </c>
      <c r="P66" s="7">
        <v>0</v>
      </c>
      <c r="Q66" s="7">
        <v>0</v>
      </c>
      <c r="R66" s="7">
        <v>31</v>
      </c>
      <c r="S66" s="7">
        <v>26</v>
      </c>
      <c r="T66" s="7">
        <v>0</v>
      </c>
      <c r="U66" s="7">
        <v>0</v>
      </c>
      <c r="V66" s="7" t="s">
        <v>493</v>
      </c>
      <c r="W66" s="7" t="s">
        <v>493</v>
      </c>
      <c r="X66" s="7" t="s">
        <v>493</v>
      </c>
      <c r="Y66" s="7" t="s">
        <v>493</v>
      </c>
      <c r="Z66" s="7">
        <v>0</v>
      </c>
      <c r="AA66" s="7">
        <v>0</v>
      </c>
      <c r="AB66" s="7">
        <v>7</v>
      </c>
      <c r="AC66" s="7">
        <v>0</v>
      </c>
      <c r="AD66" s="7" t="s">
        <v>142</v>
      </c>
      <c r="AE66" s="8" t="s">
        <v>486</v>
      </c>
      <c r="AF66" s="7" t="s">
        <v>279</v>
      </c>
      <c r="AG66" s="7" t="s">
        <v>476</v>
      </c>
      <c r="AH66" s="7">
        <v>0.75</v>
      </c>
    </row>
    <row r="67" spans="1:34" x14ac:dyDescent="0.3">
      <c r="A67" s="4" t="s">
        <v>633</v>
      </c>
      <c r="B67" s="4" t="s">
        <v>367</v>
      </c>
      <c r="C67" s="4" t="s">
        <v>46</v>
      </c>
      <c r="D67" s="4" t="s">
        <v>622</v>
      </c>
      <c r="E67" s="4" t="s">
        <v>479</v>
      </c>
      <c r="F67" s="4" t="s">
        <v>490</v>
      </c>
      <c r="G67" s="4" t="s">
        <v>472</v>
      </c>
      <c r="H67" s="4" t="s">
        <v>492</v>
      </c>
      <c r="I67" s="4">
        <v>8</v>
      </c>
      <c r="J67" s="4">
        <v>6</v>
      </c>
      <c r="K67" s="4">
        <v>2</v>
      </c>
      <c r="L67" s="4">
        <v>162</v>
      </c>
      <c r="M67" s="4">
        <v>112</v>
      </c>
      <c r="N67" s="4">
        <v>40.5</v>
      </c>
      <c r="O67" s="4">
        <v>155.41</v>
      </c>
      <c r="P67" s="4">
        <v>0</v>
      </c>
      <c r="Q67" s="4">
        <v>0</v>
      </c>
      <c r="R67" s="4">
        <v>21</v>
      </c>
      <c r="S67" s="4">
        <v>7</v>
      </c>
      <c r="T67" s="4">
        <v>0</v>
      </c>
      <c r="U67" s="4">
        <v>0</v>
      </c>
      <c r="V67" s="4" t="s">
        <v>493</v>
      </c>
      <c r="W67" s="4" t="s">
        <v>493</v>
      </c>
      <c r="X67" s="4" t="s">
        <v>493</v>
      </c>
      <c r="Y67" s="4" t="s">
        <v>493</v>
      </c>
      <c r="Z67" s="4">
        <v>0</v>
      </c>
      <c r="AA67" s="4">
        <v>0</v>
      </c>
      <c r="AB67" s="4">
        <v>3</v>
      </c>
      <c r="AC67" s="4">
        <v>0</v>
      </c>
      <c r="AD67" s="4" t="s">
        <v>28</v>
      </c>
      <c r="AE67" s="8" t="s">
        <v>486</v>
      </c>
      <c r="AF67" s="4" t="s">
        <v>134</v>
      </c>
      <c r="AG67" s="4" t="s">
        <v>476</v>
      </c>
      <c r="AH67" s="4">
        <v>18</v>
      </c>
    </row>
    <row r="68" spans="1:34" x14ac:dyDescent="0.3">
      <c r="A68" s="7" t="s">
        <v>634</v>
      </c>
      <c r="B68" s="7" t="s">
        <v>635</v>
      </c>
      <c r="C68" s="7" t="s">
        <v>46</v>
      </c>
      <c r="D68" s="7" t="s">
        <v>622</v>
      </c>
      <c r="E68" s="7" t="s">
        <v>483</v>
      </c>
      <c r="F68" s="7" t="s">
        <v>490</v>
      </c>
      <c r="G68" s="7" t="s">
        <v>472</v>
      </c>
      <c r="H68" s="7" t="s">
        <v>492</v>
      </c>
      <c r="I68" s="7">
        <v>10</v>
      </c>
      <c r="J68" s="7">
        <v>10</v>
      </c>
      <c r="K68" s="7">
        <v>2</v>
      </c>
      <c r="L68" s="7">
        <v>207</v>
      </c>
      <c r="M68" s="7">
        <v>58</v>
      </c>
      <c r="N68" s="7">
        <v>25.88</v>
      </c>
      <c r="O68" s="7">
        <v>136.53</v>
      </c>
      <c r="P68" s="7">
        <v>0</v>
      </c>
      <c r="Q68" s="7">
        <v>0</v>
      </c>
      <c r="R68" s="7">
        <v>20</v>
      </c>
      <c r="S68" s="7">
        <v>8</v>
      </c>
      <c r="T68" s="7">
        <v>0</v>
      </c>
      <c r="U68" s="7">
        <v>0</v>
      </c>
      <c r="V68" s="7" t="s">
        <v>493</v>
      </c>
      <c r="W68" s="7" t="s">
        <v>493</v>
      </c>
      <c r="X68" s="7" t="s">
        <v>493</v>
      </c>
      <c r="Y68" s="7" t="s">
        <v>493</v>
      </c>
      <c r="Z68" s="7">
        <v>0</v>
      </c>
      <c r="AA68" s="7">
        <v>0</v>
      </c>
      <c r="AB68" s="7">
        <v>8</v>
      </c>
      <c r="AC68" s="7">
        <v>0</v>
      </c>
      <c r="AD68" s="7" t="s">
        <v>28</v>
      </c>
      <c r="AE68" s="8" t="s">
        <v>486</v>
      </c>
      <c r="AF68" s="7" t="s">
        <v>224</v>
      </c>
      <c r="AG68" s="7" t="s">
        <v>476</v>
      </c>
      <c r="AH68" s="7">
        <v>2.5</v>
      </c>
    </row>
    <row r="69" spans="1:34" x14ac:dyDescent="0.3">
      <c r="A69" s="4" t="s">
        <v>636</v>
      </c>
      <c r="B69" s="4" t="s">
        <v>206</v>
      </c>
      <c r="C69" s="4" t="s">
        <v>46</v>
      </c>
      <c r="D69" s="4" t="s">
        <v>622</v>
      </c>
      <c r="E69" s="4" t="s">
        <v>483</v>
      </c>
      <c r="F69" s="4" t="s">
        <v>484</v>
      </c>
      <c r="G69" s="4" t="s">
        <v>491</v>
      </c>
      <c r="H69" s="4" t="s">
        <v>516</v>
      </c>
      <c r="I69" s="4">
        <v>13</v>
      </c>
      <c r="J69" s="4">
        <v>13</v>
      </c>
      <c r="K69" s="4">
        <v>0</v>
      </c>
      <c r="L69" s="4">
        <v>687</v>
      </c>
      <c r="M69" s="4">
        <v>42</v>
      </c>
      <c r="N69" s="4">
        <v>52.85</v>
      </c>
      <c r="O69" s="4">
        <v>167.89</v>
      </c>
      <c r="P69" s="4">
        <v>1</v>
      </c>
      <c r="Q69" s="4">
        <v>0</v>
      </c>
      <c r="R69" s="4">
        <v>74</v>
      </c>
      <c r="S69" s="4">
        <v>38</v>
      </c>
      <c r="T69" s="4">
        <v>1</v>
      </c>
      <c r="U69" s="4">
        <v>22</v>
      </c>
      <c r="V69" s="4">
        <v>15.25</v>
      </c>
      <c r="W69" s="4">
        <v>7.43</v>
      </c>
      <c r="X69" s="4">
        <v>12.26</v>
      </c>
      <c r="Y69" s="4" t="s">
        <v>637</v>
      </c>
      <c r="Z69" s="4">
        <v>0</v>
      </c>
      <c r="AA69" s="4">
        <v>43.8</v>
      </c>
      <c r="AB69" s="4">
        <v>3</v>
      </c>
      <c r="AC69" s="4">
        <v>0</v>
      </c>
      <c r="AD69" s="4" t="s">
        <v>55</v>
      </c>
      <c r="AE69" s="8" t="s">
        <v>486</v>
      </c>
      <c r="AF69" s="4" t="s">
        <v>165</v>
      </c>
      <c r="AG69" s="4" t="s">
        <v>476</v>
      </c>
      <c r="AH69" s="4">
        <v>6</v>
      </c>
    </row>
    <row r="70" spans="1:34" x14ac:dyDescent="0.3">
      <c r="A70" s="7" t="s">
        <v>638</v>
      </c>
      <c r="B70" s="7" t="s">
        <v>639</v>
      </c>
      <c r="C70" s="7" t="s">
        <v>46</v>
      </c>
      <c r="D70" s="7" t="s">
        <v>622</v>
      </c>
      <c r="E70" s="7" t="s">
        <v>483</v>
      </c>
      <c r="F70" s="7" t="s">
        <v>490</v>
      </c>
      <c r="G70" s="7" t="s">
        <v>472</v>
      </c>
      <c r="H70" s="7" t="s">
        <v>492</v>
      </c>
      <c r="I70" s="7">
        <v>11</v>
      </c>
      <c r="J70" s="7">
        <v>11</v>
      </c>
      <c r="K70" s="7">
        <v>2</v>
      </c>
      <c r="L70" s="7">
        <v>494</v>
      </c>
      <c r="M70" s="7">
        <v>78</v>
      </c>
      <c r="N70" s="7">
        <v>54.89</v>
      </c>
      <c r="O70" s="7">
        <v>179.85</v>
      </c>
      <c r="P70" s="7">
        <v>0</v>
      </c>
      <c r="Q70" s="7">
        <v>0</v>
      </c>
      <c r="R70" s="7">
        <v>45</v>
      </c>
      <c r="S70" s="7">
        <v>52</v>
      </c>
      <c r="T70" s="7">
        <v>0</v>
      </c>
      <c r="U70" s="7">
        <v>0</v>
      </c>
      <c r="V70" s="7" t="s">
        <v>493</v>
      </c>
      <c r="W70" s="7" t="s">
        <v>493</v>
      </c>
      <c r="X70" s="7" t="s">
        <v>493</v>
      </c>
      <c r="Y70" s="7" t="s">
        <v>493</v>
      </c>
      <c r="Z70" s="7">
        <v>0</v>
      </c>
      <c r="AA70" s="7">
        <v>0</v>
      </c>
      <c r="AB70" s="7">
        <v>7</v>
      </c>
      <c r="AC70" s="7">
        <v>0</v>
      </c>
      <c r="AD70" s="7" t="s">
        <v>28</v>
      </c>
      <c r="AE70" s="8" t="s">
        <v>486</v>
      </c>
      <c r="AF70" s="7" t="s">
        <v>134</v>
      </c>
      <c r="AG70" s="7" t="s">
        <v>502</v>
      </c>
      <c r="AH70" s="7">
        <v>7.5</v>
      </c>
    </row>
    <row r="71" spans="1:34" x14ac:dyDescent="0.3">
      <c r="A71" s="4" t="s">
        <v>640</v>
      </c>
      <c r="B71" s="4" t="s">
        <v>641</v>
      </c>
      <c r="C71" s="4" t="s">
        <v>46</v>
      </c>
      <c r="D71" s="4" t="s">
        <v>622</v>
      </c>
      <c r="E71" s="4" t="s">
        <v>483</v>
      </c>
      <c r="F71" s="4" t="s">
        <v>490</v>
      </c>
      <c r="G71" s="4" t="s">
        <v>472</v>
      </c>
      <c r="H71" s="4" t="s">
        <v>492</v>
      </c>
      <c r="I71" s="4">
        <v>8</v>
      </c>
      <c r="J71" s="4">
        <v>6</v>
      </c>
      <c r="K71" s="4">
        <v>3</v>
      </c>
      <c r="L71" s="4">
        <v>92</v>
      </c>
      <c r="M71" s="4">
        <v>68</v>
      </c>
      <c r="N71" s="4">
        <v>30.67</v>
      </c>
      <c r="O71" s="4">
        <v>154.18</v>
      </c>
      <c r="P71" s="4">
        <v>0</v>
      </c>
      <c r="Q71" s="4">
        <v>0</v>
      </c>
      <c r="R71" s="4">
        <v>7</v>
      </c>
      <c r="S71" s="4">
        <v>9</v>
      </c>
      <c r="T71" s="4">
        <v>0</v>
      </c>
      <c r="U71" s="4">
        <v>0</v>
      </c>
      <c r="V71" s="4" t="s">
        <v>493</v>
      </c>
      <c r="W71" s="4" t="s">
        <v>493</v>
      </c>
      <c r="X71" s="4" t="s">
        <v>493</v>
      </c>
      <c r="Y71" s="4" t="s">
        <v>493</v>
      </c>
      <c r="Z71" s="4">
        <v>0</v>
      </c>
      <c r="AA71" s="4">
        <v>0</v>
      </c>
      <c r="AB71" s="4">
        <v>4</v>
      </c>
      <c r="AC71" s="4">
        <v>0</v>
      </c>
      <c r="AD71" s="4" t="s">
        <v>55</v>
      </c>
      <c r="AE71" s="8" t="s">
        <v>486</v>
      </c>
      <c r="AF71" s="4" t="s">
        <v>313</v>
      </c>
      <c r="AG71" s="4" t="s">
        <v>476</v>
      </c>
      <c r="AH71" s="4">
        <v>7.5</v>
      </c>
    </row>
    <row r="72" spans="1:34" x14ac:dyDescent="0.3">
      <c r="A72" s="7" t="s">
        <v>642</v>
      </c>
      <c r="B72" s="7" t="s">
        <v>643</v>
      </c>
      <c r="C72" s="7" t="s">
        <v>46</v>
      </c>
      <c r="D72" s="7" t="s">
        <v>622</v>
      </c>
      <c r="E72" s="7" t="s">
        <v>589</v>
      </c>
      <c r="F72" s="7" t="s">
        <v>490</v>
      </c>
      <c r="G72" s="7" t="s">
        <v>491</v>
      </c>
      <c r="H72" s="7" t="s">
        <v>492</v>
      </c>
      <c r="I72" s="7">
        <v>14</v>
      </c>
      <c r="J72" s="7">
        <v>13</v>
      </c>
      <c r="K72" s="7">
        <v>1</v>
      </c>
      <c r="L72" s="7">
        <v>540</v>
      </c>
      <c r="M72" s="7">
        <v>100</v>
      </c>
      <c r="N72" s="7">
        <v>45</v>
      </c>
      <c r="O72" s="7">
        <v>178</v>
      </c>
      <c r="P72" s="7">
        <v>1</v>
      </c>
      <c r="Q72" s="7">
        <v>0</v>
      </c>
      <c r="R72" s="7">
        <v>66</v>
      </c>
      <c r="S72" s="7">
        <v>61</v>
      </c>
      <c r="T72" s="7">
        <v>0</v>
      </c>
      <c r="U72" s="7">
        <v>0</v>
      </c>
      <c r="V72" s="7" t="s">
        <v>493</v>
      </c>
      <c r="W72" s="7" t="s">
        <v>493</v>
      </c>
      <c r="X72" s="7" t="s">
        <v>493</v>
      </c>
      <c r="Y72" s="7" t="s">
        <v>493</v>
      </c>
      <c r="Z72" s="7">
        <v>0</v>
      </c>
      <c r="AA72" s="7">
        <v>0</v>
      </c>
      <c r="AB72" s="7">
        <v>4</v>
      </c>
      <c r="AC72" s="7">
        <v>0</v>
      </c>
      <c r="AD72" s="7" t="s">
        <v>28</v>
      </c>
      <c r="AE72" s="8" t="s">
        <v>486</v>
      </c>
      <c r="AF72" s="7" t="s">
        <v>134</v>
      </c>
      <c r="AG72" s="7" t="s">
        <v>476</v>
      </c>
      <c r="AH72" s="7">
        <v>18</v>
      </c>
    </row>
    <row r="73" spans="1:34" x14ac:dyDescent="0.3">
      <c r="A73" s="4" t="s">
        <v>644</v>
      </c>
      <c r="B73" s="4" t="s">
        <v>645</v>
      </c>
      <c r="C73" s="4" t="s">
        <v>46</v>
      </c>
      <c r="D73" s="4" t="s">
        <v>622</v>
      </c>
      <c r="E73" s="4" t="s">
        <v>483</v>
      </c>
      <c r="F73" s="4" t="s">
        <v>471</v>
      </c>
      <c r="G73" s="4" t="s">
        <v>472</v>
      </c>
      <c r="H73" s="4" t="s">
        <v>473</v>
      </c>
      <c r="I73" s="4">
        <v>12</v>
      </c>
      <c r="J73" s="4">
        <v>11</v>
      </c>
      <c r="K73" s="4">
        <v>0</v>
      </c>
      <c r="L73" s="4">
        <v>200</v>
      </c>
      <c r="M73" s="4">
        <v>14</v>
      </c>
      <c r="N73" s="4">
        <v>18.18</v>
      </c>
      <c r="O73" s="4">
        <v>98.72</v>
      </c>
      <c r="P73" s="4">
        <v>0</v>
      </c>
      <c r="Q73" s="4">
        <v>0</v>
      </c>
      <c r="R73" s="4">
        <v>16</v>
      </c>
      <c r="S73" s="4">
        <v>10</v>
      </c>
      <c r="T73" s="4">
        <v>2</v>
      </c>
      <c r="U73" s="4">
        <v>20</v>
      </c>
      <c r="V73" s="4">
        <v>28.33</v>
      </c>
      <c r="W73" s="4">
        <v>10.4</v>
      </c>
      <c r="X73" s="4">
        <v>11.39</v>
      </c>
      <c r="Y73" s="4" t="s">
        <v>646</v>
      </c>
      <c r="Z73" s="4">
        <v>1</v>
      </c>
      <c r="AA73" s="4">
        <v>41.9</v>
      </c>
      <c r="AB73" s="4">
        <v>12</v>
      </c>
      <c r="AC73" s="4">
        <v>0</v>
      </c>
      <c r="AD73" s="4" t="s">
        <v>81</v>
      </c>
      <c r="AE73" s="8" t="s">
        <v>486</v>
      </c>
      <c r="AF73" s="4" t="s">
        <v>386</v>
      </c>
      <c r="AG73" s="4" t="s">
        <v>502</v>
      </c>
      <c r="AH73" s="4">
        <v>10</v>
      </c>
    </row>
    <row r="74" spans="1:34" x14ac:dyDescent="0.3">
      <c r="A74" s="7" t="s">
        <v>647</v>
      </c>
      <c r="B74" s="7" t="s">
        <v>648</v>
      </c>
      <c r="C74" s="7" t="s">
        <v>46</v>
      </c>
      <c r="D74" s="7" t="s">
        <v>622</v>
      </c>
      <c r="E74" s="7" t="s">
        <v>597</v>
      </c>
      <c r="F74" s="7" t="s">
        <v>471</v>
      </c>
      <c r="G74" s="7" t="s">
        <v>491</v>
      </c>
      <c r="H74" s="7" t="s">
        <v>556</v>
      </c>
      <c r="I74" s="7">
        <v>13</v>
      </c>
      <c r="J74" s="7">
        <v>13</v>
      </c>
      <c r="K74" s="7">
        <v>0</v>
      </c>
      <c r="L74" s="7">
        <v>186</v>
      </c>
      <c r="M74" s="7">
        <v>39</v>
      </c>
      <c r="N74" s="7">
        <v>14.31</v>
      </c>
      <c r="O74" s="7">
        <v>125.79</v>
      </c>
      <c r="P74" s="7">
        <v>0</v>
      </c>
      <c r="Q74" s="7">
        <v>0</v>
      </c>
      <c r="R74" s="7">
        <v>15</v>
      </c>
      <c r="S74" s="7">
        <v>9</v>
      </c>
      <c r="T74" s="7">
        <v>2</v>
      </c>
      <c r="U74" s="7">
        <v>14</v>
      </c>
      <c r="V74" s="7">
        <v>23.48</v>
      </c>
      <c r="W74" s="7">
        <v>7.48</v>
      </c>
      <c r="X74" s="7">
        <v>14.57</v>
      </c>
      <c r="Y74" s="7" t="s">
        <v>552</v>
      </c>
      <c r="Z74" s="7">
        <v>0</v>
      </c>
      <c r="AA74" s="7">
        <v>44.2</v>
      </c>
      <c r="AB74" s="7">
        <v>10</v>
      </c>
      <c r="AC74" s="7">
        <v>0</v>
      </c>
      <c r="AD74" s="7" t="s">
        <v>38</v>
      </c>
      <c r="AE74" s="8" t="s">
        <v>486</v>
      </c>
      <c r="AF74" s="7" t="s">
        <v>66</v>
      </c>
      <c r="AG74" s="7" t="s">
        <v>476</v>
      </c>
      <c r="AH74" s="7">
        <v>0.4</v>
      </c>
    </row>
    <row r="75" spans="1:34" x14ac:dyDescent="0.3">
      <c r="A75" s="4" t="s">
        <v>649</v>
      </c>
      <c r="B75" s="4" t="s">
        <v>650</v>
      </c>
      <c r="C75" s="4" t="s">
        <v>46</v>
      </c>
      <c r="D75" s="4" t="s">
        <v>622</v>
      </c>
      <c r="E75" s="4" t="s">
        <v>483</v>
      </c>
      <c r="F75" s="4" t="s">
        <v>490</v>
      </c>
      <c r="G75" s="4" t="s">
        <v>472</v>
      </c>
      <c r="H75" s="4" t="s">
        <v>492</v>
      </c>
      <c r="I75" s="4">
        <v>8</v>
      </c>
      <c r="J75" s="4">
        <v>8</v>
      </c>
      <c r="K75" s="4">
        <v>2</v>
      </c>
      <c r="L75" s="4">
        <v>307</v>
      </c>
      <c r="M75" s="4">
        <v>61</v>
      </c>
      <c r="N75" s="4">
        <v>51.17</v>
      </c>
      <c r="O75" s="4">
        <v>141.28</v>
      </c>
      <c r="P75" s="4">
        <v>0</v>
      </c>
      <c r="Q75" s="4">
        <v>0</v>
      </c>
      <c r="R75" s="4">
        <v>26</v>
      </c>
      <c r="S75" s="4">
        <v>20</v>
      </c>
      <c r="T75" s="4">
        <v>0</v>
      </c>
      <c r="U75" s="4">
        <v>0</v>
      </c>
      <c r="V75" s="4" t="s">
        <v>493</v>
      </c>
      <c r="W75" s="4" t="s">
        <v>493</v>
      </c>
      <c r="X75" s="4" t="s">
        <v>493</v>
      </c>
      <c r="Y75" s="4" t="s">
        <v>493</v>
      </c>
      <c r="Z75" s="4">
        <v>0</v>
      </c>
      <c r="AA75" s="4">
        <v>0</v>
      </c>
      <c r="AB75" s="4">
        <v>3</v>
      </c>
      <c r="AC75" s="4">
        <v>0</v>
      </c>
      <c r="AD75" s="4" t="s">
        <v>20</v>
      </c>
      <c r="AE75" s="8" t="s">
        <v>486</v>
      </c>
      <c r="AF75" s="4" t="s">
        <v>115</v>
      </c>
      <c r="AG75" s="4" t="s">
        <v>476</v>
      </c>
      <c r="AH75" s="4">
        <v>0.2</v>
      </c>
    </row>
    <row r="76" spans="1:34" x14ac:dyDescent="0.3">
      <c r="A76" s="7" t="s">
        <v>651</v>
      </c>
      <c r="B76" s="7" t="s">
        <v>652</v>
      </c>
      <c r="C76" s="7" t="s">
        <v>46</v>
      </c>
      <c r="D76" s="7" t="s">
        <v>622</v>
      </c>
      <c r="E76" s="7" t="s">
        <v>483</v>
      </c>
      <c r="F76" s="7" t="s">
        <v>490</v>
      </c>
      <c r="G76" s="7" t="s">
        <v>472</v>
      </c>
      <c r="H76" s="7" t="s">
        <v>492</v>
      </c>
      <c r="I76" s="7">
        <v>14</v>
      </c>
      <c r="J76" s="7">
        <v>14</v>
      </c>
      <c r="K76" s="7">
        <v>1</v>
      </c>
      <c r="L76" s="7">
        <v>541</v>
      </c>
      <c r="M76" s="7">
        <v>78</v>
      </c>
      <c r="N76" s="7">
        <v>41.62</v>
      </c>
      <c r="O76" s="7">
        <v>180.7</v>
      </c>
      <c r="P76" s="7">
        <v>0</v>
      </c>
      <c r="Q76" s="7">
        <v>0</v>
      </c>
      <c r="R76" s="7">
        <v>58</v>
      </c>
      <c r="S76" s="7">
        <v>23</v>
      </c>
      <c r="T76" s="7">
        <v>0</v>
      </c>
      <c r="U76" s="7">
        <v>0</v>
      </c>
      <c r="V76" s="7" t="s">
        <v>493</v>
      </c>
      <c r="W76" s="7" t="s">
        <v>493</v>
      </c>
      <c r="X76" s="7" t="s">
        <v>493</v>
      </c>
      <c r="Y76" s="7" t="s">
        <v>493</v>
      </c>
      <c r="Z76" s="7">
        <v>0</v>
      </c>
      <c r="AA76" s="7">
        <v>0</v>
      </c>
      <c r="AB76" s="7">
        <v>3</v>
      </c>
      <c r="AC76" s="7">
        <v>0</v>
      </c>
      <c r="AD76" s="7" t="s">
        <v>28</v>
      </c>
      <c r="AE76" s="8" t="s">
        <v>486</v>
      </c>
      <c r="AF76" s="7" t="s">
        <v>134</v>
      </c>
      <c r="AG76" s="7" t="s">
        <v>476</v>
      </c>
      <c r="AH76" s="7">
        <v>15</v>
      </c>
    </row>
    <row r="77" spans="1:34" x14ac:dyDescent="0.3">
      <c r="A77" s="4" t="s">
        <v>653</v>
      </c>
      <c r="B77" s="4" t="s">
        <v>71</v>
      </c>
      <c r="C77" s="4" t="s">
        <v>38</v>
      </c>
      <c r="D77" s="4" t="s">
        <v>654</v>
      </c>
      <c r="E77" s="4" t="s">
        <v>597</v>
      </c>
      <c r="F77" s="4" t="s">
        <v>471</v>
      </c>
      <c r="G77" s="4" t="s">
        <v>472</v>
      </c>
      <c r="H77" s="4" t="s">
        <v>509</v>
      </c>
      <c r="I77" s="4">
        <v>9</v>
      </c>
      <c r="J77" s="4">
        <v>8</v>
      </c>
      <c r="K77" s="4">
        <v>1</v>
      </c>
      <c r="L77" s="4">
        <v>163</v>
      </c>
      <c r="M77" s="4">
        <v>19</v>
      </c>
      <c r="N77" s="4">
        <v>23.29</v>
      </c>
      <c r="O77" s="4">
        <v>115.23</v>
      </c>
      <c r="P77" s="4">
        <v>0</v>
      </c>
      <c r="Q77" s="4">
        <v>0</v>
      </c>
      <c r="R77" s="4">
        <v>13</v>
      </c>
      <c r="S77" s="4">
        <v>8</v>
      </c>
      <c r="T77" s="4">
        <v>1</v>
      </c>
      <c r="U77" s="4">
        <v>15</v>
      </c>
      <c r="V77" s="4">
        <v>22.51</v>
      </c>
      <c r="W77" s="4">
        <v>6.77</v>
      </c>
      <c r="X77" s="4">
        <v>14.21</v>
      </c>
      <c r="Y77" s="4" t="s">
        <v>585</v>
      </c>
      <c r="Z77" s="4">
        <v>0</v>
      </c>
      <c r="AA77" s="4">
        <v>28.2</v>
      </c>
      <c r="AB77" s="4">
        <v>9</v>
      </c>
      <c r="AC77" s="4">
        <v>0</v>
      </c>
      <c r="AD77" s="4" t="s">
        <v>19</v>
      </c>
      <c r="AE77" s="3" t="s">
        <v>475</v>
      </c>
      <c r="AF77" s="4" t="s">
        <v>392</v>
      </c>
      <c r="AG77" s="4" t="s">
        <v>476</v>
      </c>
      <c r="AH77" s="4">
        <v>15</v>
      </c>
    </row>
    <row r="78" spans="1:34" x14ac:dyDescent="0.3">
      <c r="A78" s="7" t="s">
        <v>655</v>
      </c>
      <c r="B78" s="7" t="s">
        <v>91</v>
      </c>
      <c r="C78" s="7" t="s">
        <v>38</v>
      </c>
      <c r="D78" s="7" t="s">
        <v>654</v>
      </c>
      <c r="E78" s="7" t="s">
        <v>483</v>
      </c>
      <c r="F78" s="7" t="s">
        <v>490</v>
      </c>
      <c r="G78" s="7" t="s">
        <v>491</v>
      </c>
      <c r="H78" s="7" t="s">
        <v>492</v>
      </c>
      <c r="I78" s="7">
        <v>11</v>
      </c>
      <c r="J78" s="7">
        <v>10</v>
      </c>
      <c r="K78" s="7">
        <v>1</v>
      </c>
      <c r="L78" s="7">
        <v>162</v>
      </c>
      <c r="M78" s="7">
        <v>86</v>
      </c>
      <c r="N78" s="7">
        <v>18</v>
      </c>
      <c r="O78" s="7">
        <v>163.77000000000001</v>
      </c>
      <c r="P78" s="7">
        <v>0</v>
      </c>
      <c r="Q78" s="7">
        <v>0</v>
      </c>
      <c r="R78" s="7">
        <v>22</v>
      </c>
      <c r="S78" s="7">
        <v>6</v>
      </c>
      <c r="T78" s="7">
        <v>0</v>
      </c>
      <c r="U78" s="7">
        <v>0</v>
      </c>
      <c r="V78" s="7" t="s">
        <v>493</v>
      </c>
      <c r="W78" s="7" t="s">
        <v>493</v>
      </c>
      <c r="X78" s="7" t="s">
        <v>493</v>
      </c>
      <c r="Y78" s="7" t="s">
        <v>493</v>
      </c>
      <c r="Z78" s="7">
        <v>0</v>
      </c>
      <c r="AA78" s="7">
        <v>0</v>
      </c>
      <c r="AB78" s="7">
        <v>2</v>
      </c>
      <c r="AC78" s="7">
        <v>0</v>
      </c>
      <c r="AD78" s="7" t="s">
        <v>19</v>
      </c>
      <c r="AE78" s="3" t="s">
        <v>475</v>
      </c>
      <c r="AF78" s="7" t="s">
        <v>377</v>
      </c>
      <c r="AG78" s="7" t="s">
        <v>476</v>
      </c>
      <c r="AH78" s="7">
        <v>5</v>
      </c>
    </row>
    <row r="79" spans="1:34" x14ac:dyDescent="0.3">
      <c r="A79" s="4" t="s">
        <v>656</v>
      </c>
      <c r="B79" s="4" t="s">
        <v>657</v>
      </c>
      <c r="C79" s="4" t="s">
        <v>38</v>
      </c>
      <c r="D79" s="4" t="s">
        <v>654</v>
      </c>
      <c r="E79" s="4" t="s">
        <v>483</v>
      </c>
      <c r="F79" s="4" t="s">
        <v>471</v>
      </c>
      <c r="G79" s="4" t="s">
        <v>491</v>
      </c>
      <c r="H79" s="4" t="s">
        <v>473</v>
      </c>
      <c r="I79" s="4">
        <v>9</v>
      </c>
      <c r="J79" s="4">
        <v>8</v>
      </c>
      <c r="K79" s="4">
        <v>2</v>
      </c>
      <c r="L79" s="4">
        <v>173</v>
      </c>
      <c r="M79" s="4">
        <v>37</v>
      </c>
      <c r="N79" s="4">
        <v>28.83</v>
      </c>
      <c r="O79" s="4">
        <v>127.32</v>
      </c>
      <c r="P79" s="4">
        <v>0</v>
      </c>
      <c r="Q79" s="4">
        <v>0</v>
      </c>
      <c r="R79" s="4">
        <v>14</v>
      </c>
      <c r="S79" s="4">
        <v>8</v>
      </c>
      <c r="T79" s="4">
        <v>3</v>
      </c>
      <c r="U79" s="4">
        <v>6</v>
      </c>
      <c r="V79" s="4">
        <v>15.44</v>
      </c>
      <c r="W79" s="4">
        <v>8.42</v>
      </c>
      <c r="X79" s="4">
        <v>19.11</v>
      </c>
      <c r="Y79" s="4" t="s">
        <v>631</v>
      </c>
      <c r="Z79" s="4">
        <v>0</v>
      </c>
      <c r="AA79" s="4">
        <v>31.6</v>
      </c>
      <c r="AB79" s="4">
        <v>2</v>
      </c>
      <c r="AC79" s="4">
        <v>0</v>
      </c>
      <c r="AD79" s="4" t="s">
        <v>81</v>
      </c>
      <c r="AE79" s="8" t="s">
        <v>486</v>
      </c>
      <c r="AF79" s="4" t="s">
        <v>196</v>
      </c>
      <c r="AG79" s="4" t="s">
        <v>476</v>
      </c>
      <c r="AH79" s="4">
        <v>6</v>
      </c>
    </row>
    <row r="80" spans="1:34" x14ac:dyDescent="0.3">
      <c r="A80" s="7" t="s">
        <v>658</v>
      </c>
      <c r="B80" s="7" t="s">
        <v>385</v>
      </c>
      <c r="C80" s="7" t="s">
        <v>38</v>
      </c>
      <c r="D80" s="7" t="s">
        <v>654</v>
      </c>
      <c r="E80" s="7" t="s">
        <v>483</v>
      </c>
      <c r="F80" s="7" t="s">
        <v>505</v>
      </c>
      <c r="G80" s="7" t="s">
        <v>491</v>
      </c>
      <c r="H80" s="7" t="s">
        <v>492</v>
      </c>
      <c r="I80" s="7">
        <v>12</v>
      </c>
      <c r="J80" s="7">
        <v>12</v>
      </c>
      <c r="K80" s="7">
        <v>2</v>
      </c>
      <c r="L80" s="7">
        <v>244</v>
      </c>
      <c r="M80" s="7">
        <v>117</v>
      </c>
      <c r="N80" s="7">
        <v>24.4</v>
      </c>
      <c r="O80" s="7">
        <v>184.54</v>
      </c>
      <c r="P80" s="7">
        <v>0</v>
      </c>
      <c r="Q80" s="7">
        <v>0</v>
      </c>
      <c r="R80" s="7">
        <v>29</v>
      </c>
      <c r="S80" s="7">
        <v>21</v>
      </c>
      <c r="T80" s="7">
        <v>0</v>
      </c>
      <c r="U80" s="7">
        <v>0</v>
      </c>
      <c r="V80" s="7" t="s">
        <v>493</v>
      </c>
      <c r="W80" s="7" t="s">
        <v>493</v>
      </c>
      <c r="X80" s="7" t="s">
        <v>493</v>
      </c>
      <c r="Y80" s="7" t="s">
        <v>493</v>
      </c>
      <c r="Z80" s="7">
        <v>0</v>
      </c>
      <c r="AA80" s="7">
        <v>0</v>
      </c>
      <c r="AB80" s="7">
        <v>11</v>
      </c>
      <c r="AC80" s="7">
        <v>1</v>
      </c>
      <c r="AD80" s="7" t="s">
        <v>19</v>
      </c>
      <c r="AE80" s="3" t="s">
        <v>475</v>
      </c>
      <c r="AF80" s="7" t="s">
        <v>392</v>
      </c>
      <c r="AG80" s="7" t="s">
        <v>502</v>
      </c>
      <c r="AH80" s="7">
        <v>0.5</v>
      </c>
    </row>
    <row r="81" spans="1:34" x14ac:dyDescent="0.3">
      <c r="A81" s="4" t="s">
        <v>659</v>
      </c>
      <c r="B81" s="4" t="s">
        <v>660</v>
      </c>
      <c r="C81" s="4" t="s">
        <v>38</v>
      </c>
      <c r="D81" s="4" t="s">
        <v>654</v>
      </c>
      <c r="E81" s="4" t="s">
        <v>589</v>
      </c>
      <c r="F81" s="4" t="s">
        <v>471</v>
      </c>
      <c r="G81" s="4" t="s">
        <v>472</v>
      </c>
      <c r="H81" s="4" t="s">
        <v>473</v>
      </c>
      <c r="I81" s="4">
        <v>8</v>
      </c>
      <c r="J81" s="4">
        <v>6</v>
      </c>
      <c r="K81" s="4">
        <v>0</v>
      </c>
      <c r="L81" s="4">
        <v>28</v>
      </c>
      <c r="M81" s="4">
        <v>12</v>
      </c>
      <c r="N81" s="4">
        <v>4.67</v>
      </c>
      <c r="O81" s="4">
        <v>88.53</v>
      </c>
      <c r="P81" s="4">
        <v>0</v>
      </c>
      <c r="Q81" s="4">
        <v>0</v>
      </c>
      <c r="R81" s="4">
        <v>2</v>
      </c>
      <c r="S81" s="4">
        <v>1</v>
      </c>
      <c r="T81" s="4">
        <v>2</v>
      </c>
      <c r="U81" s="4">
        <v>12</v>
      </c>
      <c r="V81" s="4">
        <v>29.58</v>
      </c>
      <c r="W81" s="4">
        <v>6.55</v>
      </c>
      <c r="X81" s="4">
        <v>11.2</v>
      </c>
      <c r="Y81" s="4" t="s">
        <v>661</v>
      </c>
      <c r="Z81" s="4">
        <v>0</v>
      </c>
      <c r="AA81" s="4">
        <v>27.5</v>
      </c>
      <c r="AB81" s="4">
        <v>3</v>
      </c>
      <c r="AC81" s="4">
        <v>0</v>
      </c>
      <c r="AD81" s="4" t="s">
        <v>142</v>
      </c>
      <c r="AE81" s="3" t="s">
        <v>475</v>
      </c>
      <c r="AF81" s="4" t="s">
        <v>187</v>
      </c>
      <c r="AG81" s="4" t="s">
        <v>476</v>
      </c>
      <c r="AH81" s="4">
        <v>0.4</v>
      </c>
    </row>
    <row r="82" spans="1:34" x14ac:dyDescent="0.3">
      <c r="A82" s="7" t="s">
        <v>662</v>
      </c>
      <c r="B82" s="7" t="s">
        <v>663</v>
      </c>
      <c r="C82" s="7" t="s">
        <v>38</v>
      </c>
      <c r="D82" s="7" t="s">
        <v>654</v>
      </c>
      <c r="E82" s="7" t="s">
        <v>483</v>
      </c>
      <c r="F82" s="7" t="s">
        <v>490</v>
      </c>
      <c r="G82" s="7" t="s">
        <v>491</v>
      </c>
      <c r="H82" s="7" t="s">
        <v>492</v>
      </c>
      <c r="I82" s="7">
        <v>14</v>
      </c>
      <c r="J82" s="7">
        <v>14</v>
      </c>
      <c r="K82" s="7">
        <v>0</v>
      </c>
      <c r="L82" s="7">
        <v>745</v>
      </c>
      <c r="M82" s="7">
        <v>54</v>
      </c>
      <c r="N82" s="7">
        <v>53.21</v>
      </c>
      <c r="O82" s="7">
        <v>147.74</v>
      </c>
      <c r="P82" s="7">
        <v>1</v>
      </c>
      <c r="Q82" s="7">
        <v>0</v>
      </c>
      <c r="R82" s="7">
        <v>99</v>
      </c>
      <c r="S82" s="7">
        <v>62</v>
      </c>
      <c r="T82" s="7">
        <v>0</v>
      </c>
      <c r="U82" s="7">
        <v>0</v>
      </c>
      <c r="V82" s="7" t="s">
        <v>493</v>
      </c>
      <c r="W82" s="7" t="s">
        <v>493</v>
      </c>
      <c r="X82" s="7" t="s">
        <v>493</v>
      </c>
      <c r="Y82" s="7" t="s">
        <v>493</v>
      </c>
      <c r="Z82" s="7">
        <v>0</v>
      </c>
      <c r="AA82" s="7">
        <v>0</v>
      </c>
      <c r="AB82" s="7">
        <v>9</v>
      </c>
      <c r="AC82" s="7">
        <v>0</v>
      </c>
      <c r="AD82" s="7" t="s">
        <v>19</v>
      </c>
      <c r="AE82" s="3" t="s">
        <v>475</v>
      </c>
      <c r="AF82" s="7" t="s">
        <v>392</v>
      </c>
      <c r="AG82" s="7" t="s">
        <v>476</v>
      </c>
      <c r="AH82" s="7">
        <v>4</v>
      </c>
    </row>
    <row r="83" spans="1:34" x14ac:dyDescent="0.3">
      <c r="A83" s="4" t="s">
        <v>664</v>
      </c>
      <c r="B83" s="4" t="s">
        <v>665</v>
      </c>
      <c r="C83" s="4" t="s">
        <v>38</v>
      </c>
      <c r="D83" s="4" t="s">
        <v>654</v>
      </c>
      <c r="E83" s="4" t="s">
        <v>483</v>
      </c>
      <c r="F83" s="4" t="s">
        <v>490</v>
      </c>
      <c r="G83" s="4" t="s">
        <v>472</v>
      </c>
      <c r="H83" s="4" t="s">
        <v>492</v>
      </c>
      <c r="I83" s="4">
        <v>13</v>
      </c>
      <c r="J83" s="4">
        <v>12</v>
      </c>
      <c r="K83" s="4">
        <v>1</v>
      </c>
      <c r="L83" s="4">
        <v>434</v>
      </c>
      <c r="M83" s="4">
        <v>91</v>
      </c>
      <c r="N83" s="4">
        <v>39.450000000000003</v>
      </c>
      <c r="O83" s="4">
        <v>180.54</v>
      </c>
      <c r="P83" s="4">
        <v>0</v>
      </c>
      <c r="Q83" s="4">
        <v>0</v>
      </c>
      <c r="R83" s="4">
        <v>37</v>
      </c>
      <c r="S83" s="4">
        <v>38</v>
      </c>
      <c r="T83" s="4">
        <v>0</v>
      </c>
      <c r="U83" s="4">
        <v>0</v>
      </c>
      <c r="V83" s="4" t="s">
        <v>493</v>
      </c>
      <c r="W83" s="4" t="s">
        <v>493</v>
      </c>
      <c r="X83" s="4" t="s">
        <v>493</v>
      </c>
      <c r="Y83" s="4" t="s">
        <v>493</v>
      </c>
      <c r="Z83" s="4">
        <v>0</v>
      </c>
      <c r="AA83" s="4">
        <v>0</v>
      </c>
      <c r="AB83" s="4">
        <v>2</v>
      </c>
      <c r="AC83" s="4">
        <v>0</v>
      </c>
      <c r="AD83" s="4" t="s">
        <v>81</v>
      </c>
      <c r="AE83" s="8" t="s">
        <v>486</v>
      </c>
      <c r="AF83" s="4" t="s">
        <v>196</v>
      </c>
      <c r="AG83" s="4" t="s">
        <v>476</v>
      </c>
      <c r="AH83" s="4">
        <v>10</v>
      </c>
    </row>
    <row r="84" spans="1:34" x14ac:dyDescent="0.3">
      <c r="A84" s="7" t="s">
        <v>666</v>
      </c>
      <c r="B84" s="7" t="s">
        <v>396</v>
      </c>
      <c r="C84" s="7" t="s">
        <v>38</v>
      </c>
      <c r="D84" s="7" t="s">
        <v>654</v>
      </c>
      <c r="E84" s="7" t="s">
        <v>483</v>
      </c>
      <c r="F84" s="7" t="s">
        <v>484</v>
      </c>
      <c r="G84" s="7" t="s">
        <v>491</v>
      </c>
      <c r="H84" s="7" t="s">
        <v>516</v>
      </c>
      <c r="I84" s="7">
        <v>9</v>
      </c>
      <c r="J84" s="7">
        <v>8</v>
      </c>
      <c r="K84" s="7">
        <v>3</v>
      </c>
      <c r="L84" s="7">
        <v>263</v>
      </c>
      <c r="M84" s="7">
        <v>38</v>
      </c>
      <c r="N84" s="7">
        <v>52.6</v>
      </c>
      <c r="O84" s="7">
        <v>157.26</v>
      </c>
      <c r="P84" s="7">
        <v>0</v>
      </c>
      <c r="Q84" s="7">
        <v>0</v>
      </c>
      <c r="R84" s="7">
        <v>25</v>
      </c>
      <c r="S84" s="7">
        <v>13</v>
      </c>
      <c r="T84" s="7">
        <v>0</v>
      </c>
      <c r="U84" s="7">
        <v>9</v>
      </c>
      <c r="V84" s="7">
        <v>21.27</v>
      </c>
      <c r="W84" s="7">
        <v>9.2799999999999994</v>
      </c>
      <c r="X84" s="7">
        <v>20.39</v>
      </c>
      <c r="Y84" s="7" t="s">
        <v>520</v>
      </c>
      <c r="Z84" s="7">
        <v>0</v>
      </c>
      <c r="AA84" s="7">
        <v>28.6</v>
      </c>
      <c r="AB84" s="7">
        <v>4</v>
      </c>
      <c r="AC84" s="7">
        <v>0</v>
      </c>
      <c r="AD84" s="7" t="s">
        <v>28</v>
      </c>
      <c r="AE84" s="3" t="s">
        <v>475</v>
      </c>
      <c r="AF84" s="7" t="s">
        <v>86</v>
      </c>
      <c r="AG84" s="7" t="s">
        <v>476</v>
      </c>
      <c r="AH84" s="7">
        <v>5</v>
      </c>
    </row>
    <row r="85" spans="1:34" x14ac:dyDescent="0.3">
      <c r="A85" s="4" t="s">
        <v>667</v>
      </c>
      <c r="B85" s="4" t="s">
        <v>191</v>
      </c>
      <c r="C85" s="4" t="s">
        <v>38</v>
      </c>
      <c r="D85" s="4" t="s">
        <v>654</v>
      </c>
      <c r="E85" s="4" t="s">
        <v>543</v>
      </c>
      <c r="F85" s="4" t="s">
        <v>471</v>
      </c>
      <c r="G85" s="4" t="s">
        <v>472</v>
      </c>
      <c r="H85" s="4" t="s">
        <v>500</v>
      </c>
      <c r="I85" s="4">
        <v>10</v>
      </c>
      <c r="J85" s="4">
        <v>9</v>
      </c>
      <c r="K85" s="4">
        <v>2</v>
      </c>
      <c r="L85" s="4">
        <v>128</v>
      </c>
      <c r="M85" s="4">
        <v>15</v>
      </c>
      <c r="N85" s="4">
        <v>18.29</v>
      </c>
      <c r="O85" s="4">
        <v>99.77</v>
      </c>
      <c r="P85" s="4">
        <v>0</v>
      </c>
      <c r="Q85" s="4">
        <v>0</v>
      </c>
      <c r="R85" s="4">
        <v>10</v>
      </c>
      <c r="S85" s="4">
        <v>6</v>
      </c>
      <c r="T85" s="4">
        <v>2</v>
      </c>
      <c r="U85" s="4">
        <v>12</v>
      </c>
      <c r="V85" s="4">
        <v>31.21</v>
      </c>
      <c r="W85" s="4">
        <v>7.38</v>
      </c>
      <c r="X85" s="4">
        <v>19.28</v>
      </c>
      <c r="Y85" s="4" t="s">
        <v>668</v>
      </c>
      <c r="Z85" s="4">
        <v>0</v>
      </c>
      <c r="AA85" s="4">
        <v>37.1</v>
      </c>
      <c r="AB85" s="4">
        <v>8</v>
      </c>
      <c r="AC85" s="4">
        <v>0</v>
      </c>
      <c r="AD85" s="4" t="s">
        <v>20</v>
      </c>
      <c r="AE85" s="3" t="s">
        <v>475</v>
      </c>
      <c r="AF85" s="4" t="s">
        <v>406</v>
      </c>
      <c r="AG85" s="4" t="s">
        <v>502</v>
      </c>
      <c r="AH85" s="4">
        <v>5</v>
      </c>
    </row>
    <row r="86" spans="1:34" x14ac:dyDescent="0.3">
      <c r="A86" s="7" t="s">
        <v>669</v>
      </c>
      <c r="B86" s="7" t="s">
        <v>670</v>
      </c>
      <c r="C86" s="7" t="s">
        <v>38</v>
      </c>
      <c r="D86" s="7" t="s">
        <v>654</v>
      </c>
      <c r="E86" s="7" t="s">
        <v>536</v>
      </c>
      <c r="F86" s="7" t="s">
        <v>471</v>
      </c>
      <c r="G86" s="7" t="s">
        <v>491</v>
      </c>
      <c r="H86" s="7" t="s">
        <v>473</v>
      </c>
      <c r="I86" s="7">
        <v>10</v>
      </c>
      <c r="J86" s="7">
        <v>9</v>
      </c>
      <c r="K86" s="7">
        <v>3</v>
      </c>
      <c r="L86" s="7">
        <v>233</v>
      </c>
      <c r="M86" s="7">
        <v>19</v>
      </c>
      <c r="N86" s="7">
        <v>38.83</v>
      </c>
      <c r="O86" s="7">
        <v>98.06</v>
      </c>
      <c r="P86" s="7">
        <v>0</v>
      </c>
      <c r="Q86" s="7">
        <v>0</v>
      </c>
      <c r="R86" s="7">
        <v>19</v>
      </c>
      <c r="S86" s="7">
        <v>11</v>
      </c>
      <c r="T86" s="7">
        <v>2</v>
      </c>
      <c r="U86" s="7">
        <v>16</v>
      </c>
      <c r="V86" s="7">
        <v>29.46</v>
      </c>
      <c r="W86" s="7">
        <v>9.92</v>
      </c>
      <c r="X86" s="7">
        <v>15.9</v>
      </c>
      <c r="Y86" s="7" t="s">
        <v>671</v>
      </c>
      <c r="Z86" s="7">
        <v>0</v>
      </c>
      <c r="AA86" s="7">
        <v>34</v>
      </c>
      <c r="AB86" s="7">
        <v>4</v>
      </c>
      <c r="AC86" s="7">
        <v>0</v>
      </c>
      <c r="AD86" s="7" t="s">
        <v>46</v>
      </c>
      <c r="AE86" s="3" t="s">
        <v>475</v>
      </c>
      <c r="AF86" s="7" t="s">
        <v>66</v>
      </c>
      <c r="AG86" s="7" t="s">
        <v>476</v>
      </c>
      <c r="AH86" s="7">
        <v>18</v>
      </c>
    </row>
    <row r="87" spans="1:34" x14ac:dyDescent="0.3">
      <c r="A87" s="4" t="s">
        <v>672</v>
      </c>
      <c r="B87" s="4" t="s">
        <v>673</v>
      </c>
      <c r="C87" s="4" t="s">
        <v>38</v>
      </c>
      <c r="D87" s="4" t="s">
        <v>654</v>
      </c>
      <c r="E87" s="4" t="s">
        <v>470</v>
      </c>
      <c r="F87" s="4" t="s">
        <v>490</v>
      </c>
      <c r="G87" s="4" t="s">
        <v>472</v>
      </c>
      <c r="H87" s="4" t="s">
        <v>492</v>
      </c>
      <c r="I87" s="4">
        <v>9</v>
      </c>
      <c r="J87" s="4">
        <v>8</v>
      </c>
      <c r="K87" s="4">
        <v>3</v>
      </c>
      <c r="L87" s="4">
        <v>159</v>
      </c>
      <c r="M87" s="4">
        <v>42</v>
      </c>
      <c r="N87" s="4">
        <v>31.8</v>
      </c>
      <c r="O87" s="4">
        <v>113.8</v>
      </c>
      <c r="P87" s="4">
        <v>0</v>
      </c>
      <c r="Q87" s="4">
        <v>0</v>
      </c>
      <c r="R87" s="4">
        <v>14</v>
      </c>
      <c r="S87" s="4">
        <v>6</v>
      </c>
      <c r="T87" s="4">
        <v>0</v>
      </c>
      <c r="U87" s="4">
        <v>0</v>
      </c>
      <c r="V87" s="4" t="s">
        <v>493</v>
      </c>
      <c r="W87" s="4" t="s">
        <v>493</v>
      </c>
      <c r="X87" s="4" t="s">
        <v>493</v>
      </c>
      <c r="Y87" s="4" t="s">
        <v>493</v>
      </c>
      <c r="Z87" s="4">
        <v>0</v>
      </c>
      <c r="AA87" s="4">
        <v>0</v>
      </c>
      <c r="AB87" s="4">
        <v>5</v>
      </c>
      <c r="AC87" s="4">
        <v>0</v>
      </c>
      <c r="AD87" s="4" t="s">
        <v>28</v>
      </c>
      <c r="AE87" s="8" t="s">
        <v>486</v>
      </c>
      <c r="AF87" s="4" t="s">
        <v>97</v>
      </c>
      <c r="AG87" s="4" t="s">
        <v>502</v>
      </c>
      <c r="AH87" s="4">
        <v>12.5</v>
      </c>
    </row>
    <row r="88" spans="1:34" x14ac:dyDescent="0.3">
      <c r="A88" s="7" t="s">
        <v>674</v>
      </c>
      <c r="B88" s="7" t="s">
        <v>675</v>
      </c>
      <c r="C88" s="7" t="s">
        <v>38</v>
      </c>
      <c r="D88" s="7" t="s">
        <v>654</v>
      </c>
      <c r="E88" s="7" t="s">
        <v>483</v>
      </c>
      <c r="F88" s="7" t="s">
        <v>490</v>
      </c>
      <c r="G88" s="7" t="s">
        <v>472</v>
      </c>
      <c r="H88" s="7" t="s">
        <v>492</v>
      </c>
      <c r="I88" s="7">
        <v>9</v>
      </c>
      <c r="J88" s="7">
        <v>9</v>
      </c>
      <c r="K88" s="7">
        <v>1</v>
      </c>
      <c r="L88" s="7">
        <v>187</v>
      </c>
      <c r="M88" s="7">
        <v>109</v>
      </c>
      <c r="N88" s="7">
        <v>23.38</v>
      </c>
      <c r="O88" s="7">
        <v>162.22</v>
      </c>
      <c r="P88" s="7">
        <v>0</v>
      </c>
      <c r="Q88" s="7">
        <v>0</v>
      </c>
      <c r="R88" s="7">
        <v>20</v>
      </c>
      <c r="S88" s="7">
        <v>7</v>
      </c>
      <c r="T88" s="7">
        <v>0</v>
      </c>
      <c r="U88" s="7">
        <v>0</v>
      </c>
      <c r="V88" s="7" t="s">
        <v>493</v>
      </c>
      <c r="W88" s="7" t="s">
        <v>493</v>
      </c>
      <c r="X88" s="7" t="s">
        <v>493</v>
      </c>
      <c r="Y88" s="7" t="s">
        <v>493</v>
      </c>
      <c r="Z88" s="7">
        <v>0</v>
      </c>
      <c r="AA88" s="7">
        <v>0</v>
      </c>
      <c r="AB88" s="7">
        <v>9</v>
      </c>
      <c r="AC88" s="7">
        <v>0</v>
      </c>
      <c r="AD88" s="7" t="s">
        <v>37</v>
      </c>
      <c r="AE88" s="8" t="s">
        <v>486</v>
      </c>
      <c r="AF88" s="7" t="s">
        <v>34</v>
      </c>
      <c r="AG88" s="7" t="s">
        <v>476</v>
      </c>
      <c r="AH88" s="7">
        <v>7.5</v>
      </c>
    </row>
    <row r="89" spans="1:34" x14ac:dyDescent="0.3">
      <c r="A89" s="4" t="s">
        <v>676</v>
      </c>
      <c r="B89" s="4" t="s">
        <v>677</v>
      </c>
      <c r="C89" s="4" t="s">
        <v>38</v>
      </c>
      <c r="D89" s="4" t="s">
        <v>654</v>
      </c>
      <c r="E89" s="4" t="s">
        <v>483</v>
      </c>
      <c r="F89" s="4" t="s">
        <v>484</v>
      </c>
      <c r="G89" s="4" t="s">
        <v>472</v>
      </c>
      <c r="H89" s="4" t="s">
        <v>480</v>
      </c>
      <c r="I89" s="4">
        <v>14</v>
      </c>
      <c r="J89" s="4">
        <v>12</v>
      </c>
      <c r="K89" s="4">
        <v>0</v>
      </c>
      <c r="L89" s="4">
        <v>636</v>
      </c>
      <c r="M89" s="4">
        <v>88</v>
      </c>
      <c r="N89" s="4">
        <v>53</v>
      </c>
      <c r="O89" s="4">
        <v>183.11</v>
      </c>
      <c r="P89" s="4">
        <v>1</v>
      </c>
      <c r="Q89" s="4">
        <v>0</v>
      </c>
      <c r="R89" s="4">
        <v>54</v>
      </c>
      <c r="S89" s="4">
        <v>70</v>
      </c>
      <c r="T89" s="4">
        <v>1</v>
      </c>
      <c r="U89" s="4">
        <v>16</v>
      </c>
      <c r="V89" s="4">
        <v>22.19</v>
      </c>
      <c r="W89" s="4">
        <v>8.6999999999999993</v>
      </c>
      <c r="X89" s="4">
        <v>17.190000000000001</v>
      </c>
      <c r="Y89" s="4" t="s">
        <v>678</v>
      </c>
      <c r="Z89" s="4">
        <v>0</v>
      </c>
      <c r="AA89" s="4">
        <v>46.5</v>
      </c>
      <c r="AB89" s="4">
        <v>10</v>
      </c>
      <c r="AC89" s="4">
        <v>0</v>
      </c>
      <c r="AD89" s="4" t="s">
        <v>142</v>
      </c>
      <c r="AE89" s="3" t="s">
        <v>475</v>
      </c>
      <c r="AF89" s="4" t="s">
        <v>187</v>
      </c>
      <c r="AG89" s="4" t="s">
        <v>476</v>
      </c>
      <c r="AH89" s="4">
        <v>0.75</v>
      </c>
    </row>
    <row r="90" spans="1:34" x14ac:dyDescent="0.3">
      <c r="A90" s="7" t="s">
        <v>679</v>
      </c>
      <c r="B90" s="7" t="s">
        <v>410</v>
      </c>
      <c r="C90" s="7" t="s">
        <v>38</v>
      </c>
      <c r="D90" s="7" t="s">
        <v>654</v>
      </c>
      <c r="E90" s="7" t="s">
        <v>470</v>
      </c>
      <c r="F90" s="7" t="s">
        <v>484</v>
      </c>
      <c r="G90" s="7" t="s">
        <v>491</v>
      </c>
      <c r="H90" s="7" t="s">
        <v>509</v>
      </c>
      <c r="I90" s="7">
        <v>11</v>
      </c>
      <c r="J90" s="7">
        <v>10</v>
      </c>
      <c r="K90" s="7">
        <v>0</v>
      </c>
      <c r="L90" s="7">
        <v>422</v>
      </c>
      <c r="M90" s="7">
        <v>53</v>
      </c>
      <c r="N90" s="7">
        <v>42.2</v>
      </c>
      <c r="O90" s="7">
        <v>118.87</v>
      </c>
      <c r="P90" s="7">
        <v>1</v>
      </c>
      <c r="Q90" s="7">
        <v>0</v>
      </c>
      <c r="R90" s="7">
        <v>39</v>
      </c>
      <c r="S90" s="7">
        <v>28</v>
      </c>
      <c r="T90" s="7">
        <v>0</v>
      </c>
      <c r="U90" s="7">
        <v>15</v>
      </c>
      <c r="V90" s="7">
        <v>23.39</v>
      </c>
      <c r="W90" s="7">
        <v>7.92</v>
      </c>
      <c r="X90" s="7">
        <v>15.52</v>
      </c>
      <c r="Y90" s="7" t="s">
        <v>680</v>
      </c>
      <c r="Z90" s="7">
        <v>0</v>
      </c>
      <c r="AA90" s="7">
        <v>35</v>
      </c>
      <c r="AB90" s="7">
        <v>9</v>
      </c>
      <c r="AC90" s="7">
        <v>0</v>
      </c>
      <c r="AD90" s="7" t="s">
        <v>46</v>
      </c>
      <c r="AE90" s="3" t="s">
        <v>475</v>
      </c>
      <c r="AF90" s="7" t="s">
        <v>66</v>
      </c>
      <c r="AG90" s="7" t="s">
        <v>476</v>
      </c>
      <c r="AH90" s="7">
        <v>0.2</v>
      </c>
    </row>
    <row r="91" spans="1:34" x14ac:dyDescent="0.3">
      <c r="A91" s="4" t="s">
        <v>681</v>
      </c>
      <c r="B91" s="4" t="s">
        <v>682</v>
      </c>
      <c r="C91" s="4" t="s">
        <v>38</v>
      </c>
      <c r="D91" s="4" t="s">
        <v>654</v>
      </c>
      <c r="E91" s="4" t="s">
        <v>470</v>
      </c>
      <c r="F91" s="4" t="s">
        <v>505</v>
      </c>
      <c r="G91" s="4" t="s">
        <v>491</v>
      </c>
      <c r="H91" s="4" t="s">
        <v>492</v>
      </c>
      <c r="I91" s="4">
        <v>11</v>
      </c>
      <c r="J91" s="4">
        <v>10</v>
      </c>
      <c r="K91" s="4">
        <v>1</v>
      </c>
      <c r="L91" s="4">
        <v>267</v>
      </c>
      <c r="M91" s="4">
        <v>65</v>
      </c>
      <c r="N91" s="4">
        <v>29.67</v>
      </c>
      <c r="O91" s="4">
        <v>152.16</v>
      </c>
      <c r="P91" s="4">
        <v>0</v>
      </c>
      <c r="Q91" s="4">
        <v>0</v>
      </c>
      <c r="R91" s="4">
        <v>29</v>
      </c>
      <c r="S91" s="4">
        <v>12</v>
      </c>
      <c r="T91" s="4">
        <v>0</v>
      </c>
      <c r="U91" s="4">
        <v>0</v>
      </c>
      <c r="V91" s="4" t="s">
        <v>493</v>
      </c>
      <c r="W91" s="4" t="s">
        <v>493</v>
      </c>
      <c r="X91" s="4" t="s">
        <v>493</v>
      </c>
      <c r="Y91" s="4" t="s">
        <v>493</v>
      </c>
      <c r="Z91" s="4">
        <v>0</v>
      </c>
      <c r="AA91" s="4">
        <v>0</v>
      </c>
      <c r="AB91" s="4">
        <v>4</v>
      </c>
      <c r="AC91" s="4">
        <v>4</v>
      </c>
      <c r="AD91" s="4" t="s">
        <v>28</v>
      </c>
      <c r="AE91" s="3" t="s">
        <v>475</v>
      </c>
      <c r="AF91" s="4" t="s">
        <v>86</v>
      </c>
      <c r="AG91" s="4" t="s">
        <v>476</v>
      </c>
      <c r="AH91" s="4">
        <v>3</v>
      </c>
    </row>
    <row r="92" spans="1:34" x14ac:dyDescent="0.3">
      <c r="A92" s="7" t="s">
        <v>683</v>
      </c>
      <c r="B92" s="7" t="s">
        <v>342</v>
      </c>
      <c r="C92" s="7" t="s">
        <v>142</v>
      </c>
      <c r="D92" s="7" t="s">
        <v>684</v>
      </c>
      <c r="E92" s="7" t="s">
        <v>597</v>
      </c>
      <c r="F92" s="7" t="s">
        <v>471</v>
      </c>
      <c r="G92" s="7" t="s">
        <v>491</v>
      </c>
      <c r="H92" s="7" t="s">
        <v>516</v>
      </c>
      <c r="I92" s="7">
        <v>8</v>
      </c>
      <c r="J92" s="7">
        <v>6</v>
      </c>
      <c r="K92" s="7">
        <v>0</v>
      </c>
      <c r="L92" s="7">
        <v>21</v>
      </c>
      <c r="M92" s="7">
        <v>14</v>
      </c>
      <c r="N92" s="7">
        <v>3.5</v>
      </c>
      <c r="O92" s="7">
        <v>85.67</v>
      </c>
      <c r="P92" s="7">
        <v>0</v>
      </c>
      <c r="Q92" s="7">
        <v>0</v>
      </c>
      <c r="R92" s="7">
        <v>1</v>
      </c>
      <c r="S92" s="7">
        <v>1</v>
      </c>
      <c r="T92" s="7">
        <v>1</v>
      </c>
      <c r="U92" s="7">
        <v>13</v>
      </c>
      <c r="V92" s="7">
        <v>29.13</v>
      </c>
      <c r="W92" s="7">
        <v>9.7799999999999994</v>
      </c>
      <c r="X92" s="7">
        <v>10.95</v>
      </c>
      <c r="Y92" s="7" t="s">
        <v>685</v>
      </c>
      <c r="Z92" s="7">
        <v>0</v>
      </c>
      <c r="AA92" s="7">
        <v>24</v>
      </c>
      <c r="AB92" s="7">
        <v>7</v>
      </c>
      <c r="AC92" s="7">
        <v>0</v>
      </c>
      <c r="AD92" s="7" t="s">
        <v>37</v>
      </c>
      <c r="AE92" s="8" t="s">
        <v>486</v>
      </c>
      <c r="AF92" s="7" t="s">
        <v>274</v>
      </c>
      <c r="AG92" s="7" t="s">
        <v>476</v>
      </c>
      <c r="AH92" s="7">
        <v>1.5</v>
      </c>
    </row>
    <row r="93" spans="1:34" x14ac:dyDescent="0.3">
      <c r="A93" s="4" t="s">
        <v>686</v>
      </c>
      <c r="B93" s="4" t="s">
        <v>687</v>
      </c>
      <c r="C93" s="4" t="s">
        <v>142</v>
      </c>
      <c r="D93" s="4" t="s">
        <v>684</v>
      </c>
      <c r="E93" s="4" t="s">
        <v>589</v>
      </c>
      <c r="F93" s="4" t="s">
        <v>505</v>
      </c>
      <c r="G93" s="4" t="s">
        <v>472</v>
      </c>
      <c r="H93" s="4" t="s">
        <v>492</v>
      </c>
      <c r="I93" s="4">
        <v>11</v>
      </c>
      <c r="J93" s="4">
        <v>9</v>
      </c>
      <c r="K93" s="4">
        <v>1</v>
      </c>
      <c r="L93" s="4">
        <v>338</v>
      </c>
      <c r="M93" s="4">
        <v>79</v>
      </c>
      <c r="N93" s="4">
        <v>42.25</v>
      </c>
      <c r="O93" s="4">
        <v>113.07</v>
      </c>
      <c r="P93" s="4">
        <v>0</v>
      </c>
      <c r="Q93" s="4">
        <v>0</v>
      </c>
      <c r="R93" s="4">
        <v>45</v>
      </c>
      <c r="S93" s="4">
        <v>29</v>
      </c>
      <c r="T93" s="4">
        <v>0</v>
      </c>
      <c r="U93" s="4">
        <v>0</v>
      </c>
      <c r="V93" s="4" t="s">
        <v>493</v>
      </c>
      <c r="W93" s="4" t="s">
        <v>493</v>
      </c>
      <c r="X93" s="4" t="s">
        <v>493</v>
      </c>
      <c r="Y93" s="4" t="s">
        <v>493</v>
      </c>
      <c r="Z93" s="4">
        <v>0</v>
      </c>
      <c r="AA93" s="4">
        <v>0</v>
      </c>
      <c r="AB93" s="4">
        <v>6</v>
      </c>
      <c r="AC93" s="4">
        <v>3</v>
      </c>
      <c r="AD93" s="4" t="s">
        <v>81</v>
      </c>
      <c r="AE93" s="8" t="s">
        <v>486</v>
      </c>
      <c r="AF93" s="4" t="s">
        <v>368</v>
      </c>
      <c r="AG93" s="4" t="s">
        <v>476</v>
      </c>
      <c r="AH93" s="4">
        <v>5</v>
      </c>
    </row>
    <row r="94" spans="1:34" x14ac:dyDescent="0.3">
      <c r="A94" s="7" t="s">
        <v>688</v>
      </c>
      <c r="B94" s="7" t="s">
        <v>689</v>
      </c>
      <c r="C94" s="7" t="s">
        <v>142</v>
      </c>
      <c r="D94" s="7" t="s">
        <v>684</v>
      </c>
      <c r="E94" s="7" t="s">
        <v>483</v>
      </c>
      <c r="F94" s="7" t="s">
        <v>490</v>
      </c>
      <c r="G94" s="7" t="s">
        <v>491</v>
      </c>
      <c r="H94" s="7" t="s">
        <v>492</v>
      </c>
      <c r="I94" s="7">
        <v>9</v>
      </c>
      <c r="J94" s="7">
        <v>9</v>
      </c>
      <c r="K94" s="7">
        <v>1</v>
      </c>
      <c r="L94" s="7">
        <v>245</v>
      </c>
      <c r="M94" s="7">
        <v>77</v>
      </c>
      <c r="N94" s="7">
        <v>30.62</v>
      </c>
      <c r="O94" s="7">
        <v>135.54</v>
      </c>
      <c r="P94" s="7">
        <v>0</v>
      </c>
      <c r="Q94" s="7">
        <v>0</v>
      </c>
      <c r="R94" s="7">
        <v>29</v>
      </c>
      <c r="S94" s="7">
        <v>28</v>
      </c>
      <c r="T94" s="7">
        <v>0</v>
      </c>
      <c r="U94" s="7">
        <v>0</v>
      </c>
      <c r="V94" s="7" t="s">
        <v>493</v>
      </c>
      <c r="W94" s="7" t="s">
        <v>493</v>
      </c>
      <c r="X94" s="7" t="s">
        <v>493</v>
      </c>
      <c r="Y94" s="7" t="s">
        <v>493</v>
      </c>
      <c r="Z94" s="7">
        <v>0</v>
      </c>
      <c r="AA94" s="7">
        <v>0</v>
      </c>
      <c r="AB94" s="7">
        <v>4</v>
      </c>
      <c r="AC94" s="7">
        <v>0</v>
      </c>
      <c r="AD94" s="7" t="s">
        <v>20</v>
      </c>
      <c r="AE94" s="8" t="s">
        <v>486</v>
      </c>
      <c r="AF94" s="7" t="s">
        <v>229</v>
      </c>
      <c r="AG94" s="7" t="s">
        <v>476</v>
      </c>
      <c r="AH94" s="7">
        <v>15</v>
      </c>
    </row>
    <row r="95" spans="1:34" x14ac:dyDescent="0.3">
      <c r="A95" s="4" t="s">
        <v>690</v>
      </c>
      <c r="B95" s="4" t="s">
        <v>691</v>
      </c>
      <c r="C95" s="4" t="s">
        <v>142</v>
      </c>
      <c r="D95" s="4" t="s">
        <v>684</v>
      </c>
      <c r="E95" s="4" t="s">
        <v>483</v>
      </c>
      <c r="F95" s="4" t="s">
        <v>484</v>
      </c>
      <c r="G95" s="4" t="s">
        <v>491</v>
      </c>
      <c r="H95" s="4" t="s">
        <v>509</v>
      </c>
      <c r="I95" s="4">
        <v>10</v>
      </c>
      <c r="J95" s="4">
        <v>8</v>
      </c>
      <c r="K95" s="4">
        <v>1</v>
      </c>
      <c r="L95" s="4">
        <v>248</v>
      </c>
      <c r="M95" s="4">
        <v>53</v>
      </c>
      <c r="N95" s="4">
        <v>35.43</v>
      </c>
      <c r="O95" s="4">
        <v>181.57</v>
      </c>
      <c r="P95" s="4">
        <v>0</v>
      </c>
      <c r="Q95" s="4">
        <v>0</v>
      </c>
      <c r="R95" s="4">
        <v>29</v>
      </c>
      <c r="S95" s="4">
        <v>29</v>
      </c>
      <c r="T95" s="4">
        <v>0</v>
      </c>
      <c r="U95" s="4">
        <v>14</v>
      </c>
      <c r="V95" s="4">
        <v>25</v>
      </c>
      <c r="W95" s="4">
        <v>10.06</v>
      </c>
      <c r="X95" s="4">
        <v>18.3</v>
      </c>
      <c r="Y95" s="4" t="s">
        <v>692</v>
      </c>
      <c r="Z95" s="4">
        <v>0</v>
      </c>
      <c r="AA95" s="4">
        <v>33.4</v>
      </c>
      <c r="AB95" s="4">
        <v>9</v>
      </c>
      <c r="AC95" s="4">
        <v>0</v>
      </c>
      <c r="AD95" s="4" t="s">
        <v>81</v>
      </c>
      <c r="AE95" s="8" t="s">
        <v>486</v>
      </c>
      <c r="AF95" s="4" t="s">
        <v>368</v>
      </c>
      <c r="AG95" s="4" t="s">
        <v>476</v>
      </c>
      <c r="AH95" s="4">
        <v>6</v>
      </c>
    </row>
    <row r="96" spans="1:34" x14ac:dyDescent="0.3">
      <c r="A96" s="7" t="s">
        <v>693</v>
      </c>
      <c r="B96" s="7" t="s">
        <v>694</v>
      </c>
      <c r="C96" s="7" t="s">
        <v>142</v>
      </c>
      <c r="D96" s="7" t="s">
        <v>684</v>
      </c>
      <c r="E96" s="7" t="s">
        <v>559</v>
      </c>
      <c r="F96" s="7" t="s">
        <v>490</v>
      </c>
      <c r="G96" s="7" t="s">
        <v>472</v>
      </c>
      <c r="H96" s="7" t="s">
        <v>492</v>
      </c>
      <c r="I96" s="7">
        <v>12</v>
      </c>
      <c r="J96" s="7">
        <v>10</v>
      </c>
      <c r="K96" s="7">
        <v>3</v>
      </c>
      <c r="L96" s="7">
        <v>324</v>
      </c>
      <c r="M96" s="7">
        <v>69</v>
      </c>
      <c r="N96" s="7">
        <v>46.29</v>
      </c>
      <c r="O96" s="7">
        <v>154.68</v>
      </c>
      <c r="P96" s="7">
        <v>0</v>
      </c>
      <c r="Q96" s="7">
        <v>0</v>
      </c>
      <c r="R96" s="7">
        <v>39</v>
      </c>
      <c r="S96" s="7">
        <v>38</v>
      </c>
      <c r="T96" s="7">
        <v>0</v>
      </c>
      <c r="U96" s="7">
        <v>0</v>
      </c>
      <c r="V96" s="7" t="s">
        <v>493</v>
      </c>
      <c r="W96" s="7" t="s">
        <v>493</v>
      </c>
      <c r="X96" s="7" t="s">
        <v>493</v>
      </c>
      <c r="Y96" s="7" t="s">
        <v>493</v>
      </c>
      <c r="Z96" s="7">
        <v>0</v>
      </c>
      <c r="AA96" s="7">
        <v>0</v>
      </c>
      <c r="AB96" s="7">
        <v>4</v>
      </c>
      <c r="AC96" s="7">
        <v>0</v>
      </c>
      <c r="AD96" s="7" t="s">
        <v>46</v>
      </c>
      <c r="AE96" s="8" t="s">
        <v>486</v>
      </c>
      <c r="AF96" s="7" t="s">
        <v>363</v>
      </c>
      <c r="AG96" s="7" t="s">
        <v>476</v>
      </c>
      <c r="AH96" s="7">
        <v>1.5</v>
      </c>
    </row>
    <row r="97" spans="1:34" x14ac:dyDescent="0.3">
      <c r="A97" s="4" t="s">
        <v>695</v>
      </c>
      <c r="B97" s="4" t="s">
        <v>696</v>
      </c>
      <c r="C97" s="4" t="s">
        <v>142</v>
      </c>
      <c r="D97" s="4" t="s">
        <v>684</v>
      </c>
      <c r="E97" s="4" t="s">
        <v>483</v>
      </c>
      <c r="F97" s="4" t="s">
        <v>471</v>
      </c>
      <c r="G97" s="4" t="s">
        <v>491</v>
      </c>
      <c r="H97" s="4" t="s">
        <v>514</v>
      </c>
      <c r="I97" s="4">
        <v>11</v>
      </c>
      <c r="J97" s="4">
        <v>10</v>
      </c>
      <c r="K97" s="4">
        <v>2</v>
      </c>
      <c r="L97" s="4">
        <v>286</v>
      </c>
      <c r="M97" s="4">
        <v>23</v>
      </c>
      <c r="N97" s="4">
        <v>35.75</v>
      </c>
      <c r="O97" s="4">
        <v>94.88</v>
      </c>
      <c r="P97" s="4">
        <v>0</v>
      </c>
      <c r="Q97" s="4">
        <v>0</v>
      </c>
      <c r="R97" s="4">
        <v>23</v>
      </c>
      <c r="S97" s="4">
        <v>14</v>
      </c>
      <c r="T97" s="4">
        <v>3</v>
      </c>
      <c r="U97" s="4">
        <v>14</v>
      </c>
      <c r="V97" s="4">
        <v>17.82</v>
      </c>
      <c r="W97" s="4">
        <v>7.13</v>
      </c>
      <c r="X97" s="4">
        <v>17.84</v>
      </c>
      <c r="Y97" s="4" t="s">
        <v>692</v>
      </c>
      <c r="Z97" s="4">
        <v>0</v>
      </c>
      <c r="AA97" s="4">
        <v>31.7</v>
      </c>
      <c r="AB97" s="4">
        <v>2</v>
      </c>
      <c r="AC97" s="4">
        <v>0</v>
      </c>
      <c r="AD97" s="4" t="s">
        <v>19</v>
      </c>
      <c r="AE97" s="3" t="s">
        <v>475</v>
      </c>
      <c r="AF97" s="4" t="s">
        <v>241</v>
      </c>
      <c r="AG97" s="4" t="s">
        <v>476</v>
      </c>
      <c r="AH97" s="4">
        <v>4</v>
      </c>
    </row>
    <row r="98" spans="1:34" x14ac:dyDescent="0.3">
      <c r="A98" s="7" t="s">
        <v>697</v>
      </c>
      <c r="B98" s="7" t="s">
        <v>698</v>
      </c>
      <c r="C98" s="7" t="s">
        <v>142</v>
      </c>
      <c r="D98" s="7" t="s">
        <v>684</v>
      </c>
      <c r="E98" s="7" t="s">
        <v>483</v>
      </c>
      <c r="F98" s="7" t="s">
        <v>484</v>
      </c>
      <c r="G98" s="7" t="s">
        <v>472</v>
      </c>
      <c r="H98" s="7" t="s">
        <v>514</v>
      </c>
      <c r="I98" s="7">
        <v>11</v>
      </c>
      <c r="J98" s="7">
        <v>10</v>
      </c>
      <c r="K98" s="7">
        <v>3</v>
      </c>
      <c r="L98" s="7">
        <v>187</v>
      </c>
      <c r="M98" s="7">
        <v>60</v>
      </c>
      <c r="N98" s="7">
        <v>26.71</v>
      </c>
      <c r="O98" s="7">
        <v>153.07</v>
      </c>
      <c r="P98" s="7">
        <v>0</v>
      </c>
      <c r="Q98" s="7">
        <v>0</v>
      </c>
      <c r="R98" s="7">
        <v>24</v>
      </c>
      <c r="S98" s="7">
        <v>11</v>
      </c>
      <c r="T98" s="7">
        <v>0</v>
      </c>
      <c r="U98" s="7">
        <v>5</v>
      </c>
      <c r="V98" s="7">
        <v>15.55</v>
      </c>
      <c r="W98" s="7">
        <v>10.28</v>
      </c>
      <c r="X98" s="7">
        <v>16.78</v>
      </c>
      <c r="Y98" s="7" t="s">
        <v>572</v>
      </c>
      <c r="Z98" s="7">
        <v>0</v>
      </c>
      <c r="AA98" s="7">
        <v>30.9</v>
      </c>
      <c r="AB98" s="7">
        <v>9</v>
      </c>
      <c r="AC98" s="7">
        <v>0</v>
      </c>
      <c r="AD98" s="7" t="s">
        <v>37</v>
      </c>
      <c r="AE98" s="8" t="s">
        <v>486</v>
      </c>
      <c r="AF98" s="7" t="s">
        <v>274</v>
      </c>
      <c r="AG98" s="7" t="s">
        <v>476</v>
      </c>
      <c r="AH98" s="7">
        <v>0.4</v>
      </c>
    </row>
    <row r="99" spans="1:34" x14ac:dyDescent="0.3">
      <c r="A99" s="4" t="s">
        <v>699</v>
      </c>
      <c r="B99" s="4" t="s">
        <v>700</v>
      </c>
      <c r="C99" s="4" t="s">
        <v>142</v>
      </c>
      <c r="D99" s="4" t="s">
        <v>684</v>
      </c>
      <c r="E99" s="4" t="s">
        <v>483</v>
      </c>
      <c r="F99" s="4" t="s">
        <v>471</v>
      </c>
      <c r="G99" s="4" t="s">
        <v>472</v>
      </c>
      <c r="H99" s="4" t="s">
        <v>514</v>
      </c>
      <c r="I99" s="4">
        <v>11</v>
      </c>
      <c r="J99" s="4">
        <v>11</v>
      </c>
      <c r="K99" s="4">
        <v>0</v>
      </c>
      <c r="L99" s="4">
        <v>36</v>
      </c>
      <c r="M99" s="4">
        <v>19</v>
      </c>
      <c r="N99" s="4">
        <v>3.27</v>
      </c>
      <c r="O99" s="4">
        <v>122.14</v>
      </c>
      <c r="P99" s="4">
        <v>0</v>
      </c>
      <c r="Q99" s="4">
        <v>0</v>
      </c>
      <c r="R99" s="4">
        <v>3</v>
      </c>
      <c r="S99" s="4">
        <v>1</v>
      </c>
      <c r="T99" s="4">
        <v>0</v>
      </c>
      <c r="U99" s="4">
        <v>0</v>
      </c>
      <c r="V99" s="4">
        <v>24.33</v>
      </c>
      <c r="W99" s="4">
        <v>7.9</v>
      </c>
      <c r="X99" s="4">
        <v>17.16</v>
      </c>
      <c r="Y99" s="4" t="s">
        <v>701</v>
      </c>
      <c r="Z99" s="4">
        <v>0</v>
      </c>
      <c r="AA99" s="4">
        <v>40.9</v>
      </c>
      <c r="AB99" s="4">
        <v>2</v>
      </c>
      <c r="AC99" s="4">
        <v>0</v>
      </c>
      <c r="AD99" s="4" t="s">
        <v>46</v>
      </c>
      <c r="AE99" s="3" t="s">
        <v>475</v>
      </c>
      <c r="AF99" s="4" t="s">
        <v>279</v>
      </c>
      <c r="AG99" s="4" t="s">
        <v>476</v>
      </c>
      <c r="AH99" s="4">
        <v>21</v>
      </c>
    </row>
    <row r="100" spans="1:34" x14ac:dyDescent="0.3">
      <c r="A100" s="7" t="s">
        <v>702</v>
      </c>
      <c r="B100" s="7" t="s">
        <v>283</v>
      </c>
      <c r="C100" s="7" t="s">
        <v>142</v>
      </c>
      <c r="D100" s="7" t="s">
        <v>684</v>
      </c>
      <c r="E100" s="7" t="s">
        <v>479</v>
      </c>
      <c r="F100" s="7" t="s">
        <v>490</v>
      </c>
      <c r="G100" s="7" t="s">
        <v>472</v>
      </c>
      <c r="H100" s="7" t="s">
        <v>492</v>
      </c>
      <c r="I100" s="7">
        <v>10</v>
      </c>
      <c r="J100" s="7">
        <v>10</v>
      </c>
      <c r="K100" s="7">
        <v>3</v>
      </c>
      <c r="L100" s="7">
        <v>324</v>
      </c>
      <c r="M100" s="7">
        <v>114</v>
      </c>
      <c r="N100" s="7">
        <v>46.29</v>
      </c>
      <c r="O100" s="7">
        <v>124.57</v>
      </c>
      <c r="P100" s="7">
        <v>0</v>
      </c>
      <c r="Q100" s="7">
        <v>0</v>
      </c>
      <c r="R100" s="7">
        <v>25</v>
      </c>
      <c r="S100" s="7">
        <v>23</v>
      </c>
      <c r="T100" s="7">
        <v>0</v>
      </c>
      <c r="U100" s="7">
        <v>0</v>
      </c>
      <c r="V100" s="7" t="s">
        <v>493</v>
      </c>
      <c r="W100" s="7" t="s">
        <v>493</v>
      </c>
      <c r="X100" s="7" t="s">
        <v>493</v>
      </c>
      <c r="Y100" s="7" t="s">
        <v>493</v>
      </c>
      <c r="Z100" s="7">
        <v>0</v>
      </c>
      <c r="AA100" s="7">
        <v>0</v>
      </c>
      <c r="AB100" s="7">
        <v>8</v>
      </c>
      <c r="AC100" s="7">
        <v>0</v>
      </c>
      <c r="AD100" s="7" t="s">
        <v>19</v>
      </c>
      <c r="AE100" s="3" t="s">
        <v>475</v>
      </c>
      <c r="AF100" s="7" t="s">
        <v>337</v>
      </c>
      <c r="AG100" s="7" t="s">
        <v>502</v>
      </c>
      <c r="AH100" s="7">
        <v>2</v>
      </c>
    </row>
    <row r="101" spans="1:34" x14ac:dyDescent="0.3">
      <c r="A101" s="4" t="s">
        <v>703</v>
      </c>
      <c r="B101" s="4" t="s">
        <v>704</v>
      </c>
      <c r="C101" s="4" t="s">
        <v>142</v>
      </c>
      <c r="D101" s="4" t="s">
        <v>684</v>
      </c>
      <c r="E101" s="4" t="s">
        <v>483</v>
      </c>
      <c r="F101" s="4" t="s">
        <v>471</v>
      </c>
      <c r="G101" s="4" t="s">
        <v>491</v>
      </c>
      <c r="H101" s="4" t="s">
        <v>500</v>
      </c>
      <c r="I101" s="4">
        <v>10</v>
      </c>
      <c r="J101" s="4">
        <v>9</v>
      </c>
      <c r="K101" s="4">
        <v>2</v>
      </c>
      <c r="L101" s="4">
        <v>257</v>
      </c>
      <c r="M101" s="4">
        <v>13</v>
      </c>
      <c r="N101" s="4">
        <v>36.71</v>
      </c>
      <c r="O101" s="4">
        <v>90.81</v>
      </c>
      <c r="P101" s="4">
        <v>0</v>
      </c>
      <c r="Q101" s="4">
        <v>0</v>
      </c>
      <c r="R101" s="4">
        <v>21</v>
      </c>
      <c r="S101" s="4">
        <v>12</v>
      </c>
      <c r="T101" s="4">
        <v>3</v>
      </c>
      <c r="U101" s="4">
        <v>14</v>
      </c>
      <c r="V101" s="4">
        <v>32.26</v>
      </c>
      <c r="W101" s="4">
        <v>9.44</v>
      </c>
      <c r="X101" s="4">
        <v>19.329999999999998</v>
      </c>
      <c r="Y101" s="4" t="s">
        <v>705</v>
      </c>
      <c r="Z101" s="4">
        <v>0</v>
      </c>
      <c r="AA101" s="4">
        <v>30.8</v>
      </c>
      <c r="AB101" s="4">
        <v>7</v>
      </c>
      <c r="AC101" s="4">
        <v>0</v>
      </c>
      <c r="AD101" s="4" t="s">
        <v>19</v>
      </c>
      <c r="AE101" s="3" t="s">
        <v>475</v>
      </c>
      <c r="AF101" s="4" t="s">
        <v>241</v>
      </c>
      <c r="AG101" s="4" t="s">
        <v>476</v>
      </c>
      <c r="AH101" s="4">
        <v>0.2</v>
      </c>
    </row>
    <row r="102" spans="1:34" x14ac:dyDescent="0.3">
      <c r="A102" s="7" t="s">
        <v>706</v>
      </c>
      <c r="B102" s="7" t="s">
        <v>258</v>
      </c>
      <c r="C102" s="7" t="s">
        <v>142</v>
      </c>
      <c r="D102" s="7" t="s">
        <v>684</v>
      </c>
      <c r="E102" s="7" t="s">
        <v>470</v>
      </c>
      <c r="F102" s="7" t="s">
        <v>484</v>
      </c>
      <c r="G102" s="7" t="s">
        <v>491</v>
      </c>
      <c r="H102" s="7" t="s">
        <v>480</v>
      </c>
      <c r="I102" s="7">
        <v>11</v>
      </c>
      <c r="J102" s="7">
        <v>11</v>
      </c>
      <c r="K102" s="7">
        <v>1</v>
      </c>
      <c r="L102" s="7">
        <v>227</v>
      </c>
      <c r="M102" s="7">
        <v>35</v>
      </c>
      <c r="N102" s="7">
        <v>22.7</v>
      </c>
      <c r="O102" s="7">
        <v>177.35</v>
      </c>
      <c r="P102" s="7">
        <v>0</v>
      </c>
      <c r="Q102" s="7">
        <v>0</v>
      </c>
      <c r="R102" s="7">
        <v>23</v>
      </c>
      <c r="S102" s="7">
        <v>20</v>
      </c>
      <c r="T102" s="7">
        <v>0</v>
      </c>
      <c r="U102" s="7">
        <v>29</v>
      </c>
      <c r="V102" s="7">
        <v>31.22</v>
      </c>
      <c r="W102" s="7">
        <v>9.17</v>
      </c>
      <c r="X102" s="7">
        <v>18.04</v>
      </c>
      <c r="Y102" s="7" t="s">
        <v>707</v>
      </c>
      <c r="Z102" s="7">
        <v>0</v>
      </c>
      <c r="AA102" s="7">
        <v>33</v>
      </c>
      <c r="AB102" s="7">
        <v>11</v>
      </c>
      <c r="AC102" s="7">
        <v>0</v>
      </c>
      <c r="AD102" s="7" t="s">
        <v>37</v>
      </c>
      <c r="AE102" s="8" t="s">
        <v>486</v>
      </c>
      <c r="AF102" s="7" t="s">
        <v>274</v>
      </c>
      <c r="AG102" s="7" t="s">
        <v>502</v>
      </c>
      <c r="AH102" s="7">
        <v>0.2</v>
      </c>
    </row>
    <row r="103" spans="1:34" x14ac:dyDescent="0.3">
      <c r="A103" s="4" t="s">
        <v>708</v>
      </c>
      <c r="B103" s="4" t="s">
        <v>709</v>
      </c>
      <c r="C103" s="4" t="s">
        <v>142</v>
      </c>
      <c r="D103" s="4" t="s">
        <v>684</v>
      </c>
      <c r="E103" s="4" t="s">
        <v>589</v>
      </c>
      <c r="F103" s="4" t="s">
        <v>484</v>
      </c>
      <c r="G103" s="4" t="s">
        <v>472</v>
      </c>
      <c r="H103" s="4" t="s">
        <v>556</v>
      </c>
      <c r="I103" s="4">
        <v>14</v>
      </c>
      <c r="J103" s="4">
        <v>12</v>
      </c>
      <c r="K103" s="4">
        <v>3</v>
      </c>
      <c r="L103" s="4">
        <v>362</v>
      </c>
      <c r="M103" s="4">
        <v>71</v>
      </c>
      <c r="N103" s="4">
        <v>40.22</v>
      </c>
      <c r="O103" s="4">
        <v>141.91999999999999</v>
      </c>
      <c r="P103" s="4">
        <v>0</v>
      </c>
      <c r="Q103" s="4">
        <v>0</v>
      </c>
      <c r="R103" s="4">
        <v>34</v>
      </c>
      <c r="S103" s="4">
        <v>35</v>
      </c>
      <c r="T103" s="4">
        <v>0</v>
      </c>
      <c r="U103" s="4">
        <v>12</v>
      </c>
      <c r="V103" s="4">
        <v>31.48</v>
      </c>
      <c r="W103" s="4">
        <v>7.61</v>
      </c>
      <c r="X103" s="4">
        <v>10.53</v>
      </c>
      <c r="Y103" s="4" t="s">
        <v>710</v>
      </c>
      <c r="Z103" s="4">
        <v>0</v>
      </c>
      <c r="AA103" s="4">
        <v>48.5</v>
      </c>
      <c r="AB103" s="4">
        <v>4</v>
      </c>
      <c r="AC103" s="4">
        <v>0</v>
      </c>
      <c r="AD103" s="4" t="s">
        <v>19</v>
      </c>
      <c r="AE103" s="3" t="s">
        <v>475</v>
      </c>
      <c r="AF103" s="4" t="s">
        <v>241</v>
      </c>
      <c r="AG103" s="4" t="s">
        <v>476</v>
      </c>
      <c r="AH103" s="4">
        <v>0.5</v>
      </c>
    </row>
    <row r="104" spans="1:34" x14ac:dyDescent="0.3">
      <c r="A104" s="7" t="s">
        <v>711</v>
      </c>
      <c r="B104" s="7" t="s">
        <v>712</v>
      </c>
      <c r="C104" s="7" t="s">
        <v>142</v>
      </c>
      <c r="D104" s="7" t="s">
        <v>684</v>
      </c>
      <c r="E104" s="7" t="s">
        <v>470</v>
      </c>
      <c r="F104" s="7" t="s">
        <v>490</v>
      </c>
      <c r="G104" s="7" t="s">
        <v>472</v>
      </c>
      <c r="H104" s="7" t="s">
        <v>492</v>
      </c>
      <c r="I104" s="7">
        <v>13</v>
      </c>
      <c r="J104" s="7">
        <v>13</v>
      </c>
      <c r="K104" s="7">
        <v>0</v>
      </c>
      <c r="L104" s="7">
        <v>521</v>
      </c>
      <c r="M104" s="7">
        <v>76</v>
      </c>
      <c r="N104" s="7">
        <v>40.08</v>
      </c>
      <c r="O104" s="7">
        <v>131.91</v>
      </c>
      <c r="P104" s="7">
        <v>1</v>
      </c>
      <c r="Q104" s="7">
        <v>0</v>
      </c>
      <c r="R104" s="7">
        <v>48</v>
      </c>
      <c r="S104" s="7">
        <v>29</v>
      </c>
      <c r="T104" s="7">
        <v>0</v>
      </c>
      <c r="U104" s="7">
        <v>0</v>
      </c>
      <c r="V104" s="7" t="s">
        <v>493</v>
      </c>
      <c r="W104" s="7" t="s">
        <v>493</v>
      </c>
      <c r="X104" s="7" t="s">
        <v>493</v>
      </c>
      <c r="Y104" s="7" t="s">
        <v>493</v>
      </c>
      <c r="Z104" s="7">
        <v>0</v>
      </c>
      <c r="AA104" s="7">
        <v>0</v>
      </c>
      <c r="AB104" s="7">
        <v>10</v>
      </c>
      <c r="AC104" s="7">
        <v>0</v>
      </c>
      <c r="AD104" s="7" t="s">
        <v>46</v>
      </c>
      <c r="AE104" s="3" t="s">
        <v>475</v>
      </c>
      <c r="AF104" s="7" t="s">
        <v>279</v>
      </c>
      <c r="AG104" s="7" t="s">
        <v>476</v>
      </c>
      <c r="AH104" s="7">
        <v>5</v>
      </c>
    </row>
    <row r="105" spans="1:34" x14ac:dyDescent="0.3">
      <c r="A105" s="4" t="s">
        <v>713</v>
      </c>
      <c r="B105" s="4" t="s">
        <v>714</v>
      </c>
      <c r="C105" s="4" t="s">
        <v>142</v>
      </c>
      <c r="D105" s="4" t="s">
        <v>684</v>
      </c>
      <c r="E105" s="4" t="s">
        <v>483</v>
      </c>
      <c r="F105" s="4" t="s">
        <v>490</v>
      </c>
      <c r="G105" s="4" t="s">
        <v>472</v>
      </c>
      <c r="H105" s="4" t="s">
        <v>492</v>
      </c>
      <c r="I105" s="4">
        <v>12</v>
      </c>
      <c r="J105" s="4">
        <v>10</v>
      </c>
      <c r="K105" s="4">
        <v>0</v>
      </c>
      <c r="L105" s="4">
        <v>281</v>
      </c>
      <c r="M105" s="4">
        <v>112</v>
      </c>
      <c r="N105" s="4">
        <v>28.1</v>
      </c>
      <c r="O105" s="4">
        <v>147.11000000000001</v>
      </c>
      <c r="P105" s="4">
        <v>0</v>
      </c>
      <c r="Q105" s="4">
        <v>0</v>
      </c>
      <c r="R105" s="4">
        <v>32</v>
      </c>
      <c r="S105" s="4">
        <v>33</v>
      </c>
      <c r="T105" s="4">
        <v>0</v>
      </c>
      <c r="U105" s="4">
        <v>0</v>
      </c>
      <c r="V105" s="4" t="s">
        <v>493</v>
      </c>
      <c r="W105" s="4" t="s">
        <v>493</v>
      </c>
      <c r="X105" s="4" t="s">
        <v>493</v>
      </c>
      <c r="Y105" s="4" t="s">
        <v>493</v>
      </c>
      <c r="Z105" s="4">
        <v>0</v>
      </c>
      <c r="AA105" s="4">
        <v>0</v>
      </c>
      <c r="AB105" s="4">
        <v>7</v>
      </c>
      <c r="AC105" s="4">
        <v>0</v>
      </c>
      <c r="AD105" s="4" t="s">
        <v>81</v>
      </c>
      <c r="AE105" s="8" t="s">
        <v>486</v>
      </c>
      <c r="AF105" s="4" t="s">
        <v>139</v>
      </c>
      <c r="AG105" s="4" t="s">
        <v>476</v>
      </c>
      <c r="AH105" s="4">
        <v>21</v>
      </c>
    </row>
    <row r="106" spans="1:34" x14ac:dyDescent="0.3">
      <c r="A106" s="7" t="s">
        <v>715</v>
      </c>
      <c r="B106" s="7" t="s">
        <v>246</v>
      </c>
      <c r="C106" s="7" t="s">
        <v>142</v>
      </c>
      <c r="D106" s="7" t="s">
        <v>684</v>
      </c>
      <c r="E106" s="7" t="s">
        <v>470</v>
      </c>
      <c r="F106" s="7" t="s">
        <v>505</v>
      </c>
      <c r="G106" s="7" t="s">
        <v>472</v>
      </c>
      <c r="H106" s="7" t="s">
        <v>492</v>
      </c>
      <c r="I106" s="7">
        <v>9</v>
      </c>
      <c r="J106" s="7">
        <v>8</v>
      </c>
      <c r="K106" s="7">
        <v>2</v>
      </c>
      <c r="L106" s="7">
        <v>207</v>
      </c>
      <c r="M106" s="7">
        <v>58</v>
      </c>
      <c r="N106" s="7">
        <v>34.5</v>
      </c>
      <c r="O106" s="7">
        <v>119.6</v>
      </c>
      <c r="P106" s="7">
        <v>0</v>
      </c>
      <c r="Q106" s="7">
        <v>0</v>
      </c>
      <c r="R106" s="7">
        <v>17</v>
      </c>
      <c r="S106" s="7">
        <v>9</v>
      </c>
      <c r="T106" s="7">
        <v>0</v>
      </c>
      <c r="U106" s="7">
        <v>0</v>
      </c>
      <c r="V106" s="7" t="s">
        <v>493</v>
      </c>
      <c r="W106" s="7" t="s">
        <v>493</v>
      </c>
      <c r="X106" s="7" t="s">
        <v>493</v>
      </c>
      <c r="Y106" s="7" t="s">
        <v>493</v>
      </c>
      <c r="Z106" s="7">
        <v>0</v>
      </c>
      <c r="AA106" s="7">
        <v>0</v>
      </c>
      <c r="AB106" s="7">
        <v>2</v>
      </c>
      <c r="AC106" s="7">
        <v>1</v>
      </c>
      <c r="AD106" s="7" t="s">
        <v>46</v>
      </c>
      <c r="AE106" s="3" t="s">
        <v>475</v>
      </c>
      <c r="AF106" s="7" t="s">
        <v>279</v>
      </c>
      <c r="AG106" s="7" t="s">
        <v>476</v>
      </c>
      <c r="AH106" s="7">
        <v>3</v>
      </c>
    </row>
    <row r="107" spans="1:34" x14ac:dyDescent="0.3">
      <c r="A107" s="4" t="s">
        <v>716</v>
      </c>
      <c r="B107" s="4" t="s">
        <v>223</v>
      </c>
      <c r="C107" s="4" t="s">
        <v>47</v>
      </c>
      <c r="D107" s="4" t="s">
        <v>717</v>
      </c>
      <c r="E107" s="4" t="s">
        <v>483</v>
      </c>
      <c r="F107" s="4" t="s">
        <v>471</v>
      </c>
      <c r="G107" s="4" t="s">
        <v>472</v>
      </c>
      <c r="H107" s="4" t="s">
        <v>509</v>
      </c>
      <c r="I107" s="4">
        <v>8</v>
      </c>
      <c r="J107" s="4">
        <v>6</v>
      </c>
      <c r="K107" s="4">
        <v>0</v>
      </c>
      <c r="L107" s="4">
        <v>115</v>
      </c>
      <c r="M107" s="4">
        <v>9</v>
      </c>
      <c r="N107" s="4">
        <v>19.170000000000002</v>
      </c>
      <c r="O107" s="4">
        <v>126.45</v>
      </c>
      <c r="P107" s="4">
        <v>0</v>
      </c>
      <c r="Q107" s="4">
        <v>0</v>
      </c>
      <c r="R107" s="4">
        <v>9</v>
      </c>
      <c r="S107" s="4">
        <v>5</v>
      </c>
      <c r="T107" s="4">
        <v>1</v>
      </c>
      <c r="U107" s="4">
        <v>7</v>
      </c>
      <c r="V107" s="4">
        <v>32.17</v>
      </c>
      <c r="W107" s="4">
        <v>9.92</v>
      </c>
      <c r="X107" s="4">
        <v>17.39</v>
      </c>
      <c r="Y107" s="4" t="s">
        <v>718</v>
      </c>
      <c r="Z107" s="4">
        <v>0</v>
      </c>
      <c r="AA107" s="4">
        <v>20.5</v>
      </c>
      <c r="AB107" s="4">
        <v>3</v>
      </c>
      <c r="AC107" s="4">
        <v>0</v>
      </c>
      <c r="AD107" s="4" t="s">
        <v>81</v>
      </c>
      <c r="AE107" s="3" t="s">
        <v>475</v>
      </c>
      <c r="AF107" s="4" t="s">
        <v>122</v>
      </c>
      <c r="AG107" s="4" t="s">
        <v>476</v>
      </c>
      <c r="AH107" s="4">
        <v>12.5</v>
      </c>
    </row>
    <row r="108" spans="1:34" x14ac:dyDescent="0.3">
      <c r="A108" s="7" t="s">
        <v>719</v>
      </c>
      <c r="B108" s="7" t="s">
        <v>720</v>
      </c>
      <c r="C108" s="7" t="s">
        <v>47</v>
      </c>
      <c r="D108" s="7" t="s">
        <v>717</v>
      </c>
      <c r="E108" s="7" t="s">
        <v>543</v>
      </c>
      <c r="F108" s="7" t="s">
        <v>484</v>
      </c>
      <c r="G108" s="7" t="s">
        <v>491</v>
      </c>
      <c r="H108" s="7" t="s">
        <v>500</v>
      </c>
      <c r="I108" s="7">
        <v>13</v>
      </c>
      <c r="J108" s="7">
        <v>11</v>
      </c>
      <c r="K108" s="7">
        <v>1</v>
      </c>
      <c r="L108" s="7">
        <v>366</v>
      </c>
      <c r="M108" s="7">
        <v>45</v>
      </c>
      <c r="N108" s="7">
        <v>36.6</v>
      </c>
      <c r="O108" s="7">
        <v>110.69</v>
      </c>
      <c r="P108" s="7">
        <v>0</v>
      </c>
      <c r="Q108" s="7">
        <v>0</v>
      </c>
      <c r="R108" s="7">
        <v>34</v>
      </c>
      <c r="S108" s="7">
        <v>17</v>
      </c>
      <c r="T108" s="7">
        <v>0</v>
      </c>
      <c r="U108" s="7">
        <v>23</v>
      </c>
      <c r="V108" s="7">
        <v>23.66</v>
      </c>
      <c r="W108" s="7">
        <v>10.38</v>
      </c>
      <c r="X108" s="7">
        <v>11.75</v>
      </c>
      <c r="Y108" s="7" t="s">
        <v>590</v>
      </c>
      <c r="Z108" s="7">
        <v>0</v>
      </c>
      <c r="AA108" s="7">
        <v>36.799999999999997</v>
      </c>
      <c r="AB108" s="7">
        <v>8</v>
      </c>
      <c r="AC108" s="7">
        <v>0</v>
      </c>
      <c r="AD108" s="7" t="s">
        <v>28</v>
      </c>
      <c r="AE108" s="3" t="s">
        <v>475</v>
      </c>
      <c r="AF108" s="7" t="s">
        <v>207</v>
      </c>
      <c r="AG108" s="7" t="s">
        <v>476</v>
      </c>
      <c r="AH108" s="7">
        <v>0.5</v>
      </c>
    </row>
    <row r="109" spans="1:34" x14ac:dyDescent="0.3">
      <c r="A109" s="4" t="s">
        <v>721</v>
      </c>
      <c r="B109" s="4" t="s">
        <v>722</v>
      </c>
      <c r="C109" s="4" t="s">
        <v>47</v>
      </c>
      <c r="D109" s="4" t="s">
        <v>717</v>
      </c>
      <c r="E109" s="4" t="s">
        <v>483</v>
      </c>
      <c r="F109" s="4" t="s">
        <v>490</v>
      </c>
      <c r="G109" s="4" t="s">
        <v>472</v>
      </c>
      <c r="H109" s="4" t="s">
        <v>492</v>
      </c>
      <c r="I109" s="4">
        <v>14</v>
      </c>
      <c r="J109" s="4">
        <v>13</v>
      </c>
      <c r="K109" s="4">
        <v>1</v>
      </c>
      <c r="L109" s="4">
        <v>639</v>
      </c>
      <c r="M109" s="4">
        <v>71</v>
      </c>
      <c r="N109" s="4">
        <v>53.25</v>
      </c>
      <c r="O109" s="4">
        <v>140.6</v>
      </c>
      <c r="P109" s="4">
        <v>0</v>
      </c>
      <c r="Q109" s="4">
        <v>0</v>
      </c>
      <c r="R109" s="4">
        <v>65</v>
      </c>
      <c r="S109" s="4">
        <v>30</v>
      </c>
      <c r="T109" s="4">
        <v>0</v>
      </c>
      <c r="U109" s="4">
        <v>0</v>
      </c>
      <c r="V109" s="4" t="s">
        <v>493</v>
      </c>
      <c r="W109" s="4" t="s">
        <v>493</v>
      </c>
      <c r="X109" s="4" t="s">
        <v>493</v>
      </c>
      <c r="Y109" s="4" t="s">
        <v>493</v>
      </c>
      <c r="Z109" s="4">
        <v>0</v>
      </c>
      <c r="AA109" s="4">
        <v>0</v>
      </c>
      <c r="AB109" s="4">
        <v>14</v>
      </c>
      <c r="AC109" s="4">
        <v>0</v>
      </c>
      <c r="AD109" s="4" t="s">
        <v>55</v>
      </c>
      <c r="AE109" s="8" t="s">
        <v>486</v>
      </c>
      <c r="AF109" s="4" t="s">
        <v>181</v>
      </c>
      <c r="AG109" s="4" t="s">
        <v>476</v>
      </c>
      <c r="AH109" s="4">
        <v>18</v>
      </c>
    </row>
    <row r="110" spans="1:34" x14ac:dyDescent="0.3">
      <c r="A110" s="7" t="s">
        <v>723</v>
      </c>
      <c r="B110" s="7" t="s">
        <v>724</v>
      </c>
      <c r="C110" s="7" t="s">
        <v>47</v>
      </c>
      <c r="D110" s="7" t="s">
        <v>717</v>
      </c>
      <c r="E110" s="7" t="s">
        <v>483</v>
      </c>
      <c r="F110" s="7" t="s">
        <v>484</v>
      </c>
      <c r="G110" s="7" t="s">
        <v>472</v>
      </c>
      <c r="H110" s="7" t="s">
        <v>480</v>
      </c>
      <c r="I110" s="7">
        <v>8</v>
      </c>
      <c r="J110" s="7">
        <v>8</v>
      </c>
      <c r="K110" s="7">
        <v>2</v>
      </c>
      <c r="L110" s="7">
        <v>269</v>
      </c>
      <c r="M110" s="7">
        <v>111</v>
      </c>
      <c r="N110" s="7">
        <v>44.83</v>
      </c>
      <c r="O110" s="7">
        <v>122.04</v>
      </c>
      <c r="P110" s="7">
        <v>0</v>
      </c>
      <c r="Q110" s="7">
        <v>0</v>
      </c>
      <c r="R110" s="7">
        <v>31</v>
      </c>
      <c r="S110" s="7">
        <v>24</v>
      </c>
      <c r="T110" s="7">
        <v>0</v>
      </c>
      <c r="U110" s="7">
        <v>8</v>
      </c>
      <c r="V110" s="7">
        <v>25.44</v>
      </c>
      <c r="W110" s="7">
        <v>8.33</v>
      </c>
      <c r="X110" s="7">
        <v>14.45</v>
      </c>
      <c r="Y110" s="7" t="s">
        <v>725</v>
      </c>
      <c r="Z110" s="7">
        <v>0</v>
      </c>
      <c r="AA110" s="7">
        <v>25.6</v>
      </c>
      <c r="AB110" s="7">
        <v>8</v>
      </c>
      <c r="AC110" s="7">
        <v>0</v>
      </c>
      <c r="AD110" s="7" t="s">
        <v>81</v>
      </c>
      <c r="AE110" s="8" t="s">
        <v>486</v>
      </c>
      <c r="AF110" s="7" t="s">
        <v>78</v>
      </c>
      <c r="AG110" s="7" t="s">
        <v>476</v>
      </c>
      <c r="AH110" s="7">
        <v>18</v>
      </c>
    </row>
    <row r="111" spans="1:34" x14ac:dyDescent="0.3">
      <c r="A111" s="4" t="s">
        <v>726</v>
      </c>
      <c r="B111" s="4" t="s">
        <v>727</v>
      </c>
      <c r="C111" s="4" t="s">
        <v>47</v>
      </c>
      <c r="D111" s="4" t="s">
        <v>717</v>
      </c>
      <c r="E111" s="4" t="s">
        <v>603</v>
      </c>
      <c r="F111" s="4" t="s">
        <v>490</v>
      </c>
      <c r="G111" s="4" t="s">
        <v>491</v>
      </c>
      <c r="H111" s="4" t="s">
        <v>492</v>
      </c>
      <c r="I111" s="4">
        <v>8</v>
      </c>
      <c r="J111" s="4">
        <v>7</v>
      </c>
      <c r="K111" s="4">
        <v>2</v>
      </c>
      <c r="L111" s="4">
        <v>238</v>
      </c>
      <c r="M111" s="4">
        <v>50</v>
      </c>
      <c r="N111" s="4">
        <v>47.6</v>
      </c>
      <c r="O111" s="4">
        <v>143.96</v>
      </c>
      <c r="P111" s="4">
        <v>0</v>
      </c>
      <c r="Q111" s="4">
        <v>0</v>
      </c>
      <c r="R111" s="4">
        <v>30</v>
      </c>
      <c r="S111" s="4">
        <v>9</v>
      </c>
      <c r="T111" s="4">
        <v>0</v>
      </c>
      <c r="U111" s="4">
        <v>0</v>
      </c>
      <c r="V111" s="4" t="s">
        <v>493</v>
      </c>
      <c r="W111" s="4" t="s">
        <v>493</v>
      </c>
      <c r="X111" s="4" t="s">
        <v>493</v>
      </c>
      <c r="Y111" s="4" t="s">
        <v>493</v>
      </c>
      <c r="Z111" s="4">
        <v>0</v>
      </c>
      <c r="AA111" s="4">
        <v>0</v>
      </c>
      <c r="AB111" s="4">
        <v>2</v>
      </c>
      <c r="AC111" s="4">
        <v>0</v>
      </c>
      <c r="AD111" s="4" t="s">
        <v>46</v>
      </c>
      <c r="AE111" s="8" t="s">
        <v>486</v>
      </c>
      <c r="AF111" s="4" t="s">
        <v>43</v>
      </c>
      <c r="AG111" s="4" t="s">
        <v>476</v>
      </c>
      <c r="AH111" s="4">
        <v>10</v>
      </c>
    </row>
    <row r="112" spans="1:34" x14ac:dyDescent="0.3">
      <c r="A112" s="7" t="s">
        <v>728</v>
      </c>
      <c r="B112" s="7" t="s">
        <v>729</v>
      </c>
      <c r="C112" s="7" t="s">
        <v>47</v>
      </c>
      <c r="D112" s="7" t="s">
        <v>717</v>
      </c>
      <c r="E112" s="7" t="s">
        <v>483</v>
      </c>
      <c r="F112" s="7" t="s">
        <v>490</v>
      </c>
      <c r="G112" s="7" t="s">
        <v>472</v>
      </c>
      <c r="H112" s="7" t="s">
        <v>492</v>
      </c>
      <c r="I112" s="7">
        <v>12</v>
      </c>
      <c r="J112" s="7">
        <v>12</v>
      </c>
      <c r="K112" s="7">
        <v>3</v>
      </c>
      <c r="L112" s="7">
        <v>200</v>
      </c>
      <c r="M112" s="7">
        <v>76</v>
      </c>
      <c r="N112" s="7">
        <v>22.22</v>
      </c>
      <c r="O112" s="7">
        <v>129.31</v>
      </c>
      <c r="P112" s="7">
        <v>0</v>
      </c>
      <c r="Q112" s="7">
        <v>0</v>
      </c>
      <c r="R112" s="7">
        <v>22</v>
      </c>
      <c r="S112" s="7">
        <v>21</v>
      </c>
      <c r="T112" s="7">
        <v>1</v>
      </c>
      <c r="U112" s="7">
        <v>0</v>
      </c>
      <c r="V112" s="7" t="s">
        <v>493</v>
      </c>
      <c r="W112" s="7" t="s">
        <v>493</v>
      </c>
      <c r="X112" s="7" t="s">
        <v>493</v>
      </c>
      <c r="Y112" s="7" t="s">
        <v>493</v>
      </c>
      <c r="Z112" s="7">
        <v>0</v>
      </c>
      <c r="AA112" s="7">
        <v>0</v>
      </c>
      <c r="AB112" s="7">
        <v>12</v>
      </c>
      <c r="AC112" s="7">
        <v>0</v>
      </c>
      <c r="AD112" s="7" t="s">
        <v>55</v>
      </c>
      <c r="AE112" s="8" t="s">
        <v>486</v>
      </c>
      <c r="AF112" s="7" t="s">
        <v>181</v>
      </c>
      <c r="AG112" s="7" t="s">
        <v>476</v>
      </c>
      <c r="AH112" s="7">
        <v>5</v>
      </c>
    </row>
    <row r="113" spans="1:34" x14ac:dyDescent="0.3">
      <c r="A113" s="4" t="s">
        <v>730</v>
      </c>
      <c r="B113" s="4" t="s">
        <v>128</v>
      </c>
      <c r="C113" s="4" t="s">
        <v>47</v>
      </c>
      <c r="D113" s="4" t="s">
        <v>717</v>
      </c>
      <c r="E113" s="4" t="s">
        <v>483</v>
      </c>
      <c r="F113" s="4" t="s">
        <v>471</v>
      </c>
      <c r="G113" s="4" t="s">
        <v>491</v>
      </c>
      <c r="H113" s="4" t="s">
        <v>480</v>
      </c>
      <c r="I113" s="4">
        <v>11</v>
      </c>
      <c r="J113" s="4">
        <v>11</v>
      </c>
      <c r="K113" s="4">
        <v>2</v>
      </c>
      <c r="L113" s="4">
        <v>44</v>
      </c>
      <c r="M113" s="4">
        <v>35</v>
      </c>
      <c r="N113" s="4">
        <v>4.8899999999999997</v>
      </c>
      <c r="O113" s="4">
        <v>117.25</v>
      </c>
      <c r="P113" s="4">
        <v>0</v>
      </c>
      <c r="Q113" s="4">
        <v>0</v>
      </c>
      <c r="R113" s="4">
        <v>3</v>
      </c>
      <c r="S113" s="4">
        <v>2</v>
      </c>
      <c r="T113" s="4">
        <v>3</v>
      </c>
      <c r="U113" s="4">
        <v>9</v>
      </c>
      <c r="V113" s="4">
        <v>31.56</v>
      </c>
      <c r="W113" s="4">
        <v>9.1300000000000008</v>
      </c>
      <c r="X113" s="4">
        <v>10.59</v>
      </c>
      <c r="Y113" s="4" t="s">
        <v>474</v>
      </c>
      <c r="Z113" s="4">
        <v>0</v>
      </c>
      <c r="AA113" s="4">
        <v>28.1</v>
      </c>
      <c r="AB113" s="4">
        <v>3</v>
      </c>
      <c r="AC113" s="4">
        <v>0</v>
      </c>
      <c r="AD113" s="4" t="s">
        <v>81</v>
      </c>
      <c r="AE113" s="3" t="s">
        <v>475</v>
      </c>
      <c r="AF113" s="4" t="s">
        <v>122</v>
      </c>
      <c r="AG113" s="4" t="s">
        <v>476</v>
      </c>
      <c r="AH113" s="4">
        <v>12.5</v>
      </c>
    </row>
    <row r="114" spans="1:34" x14ac:dyDescent="0.3">
      <c r="A114" s="7" t="s">
        <v>731</v>
      </c>
      <c r="B114" s="7" t="s">
        <v>732</v>
      </c>
      <c r="C114" s="7" t="s">
        <v>47</v>
      </c>
      <c r="D114" s="7" t="s">
        <v>717</v>
      </c>
      <c r="E114" s="7" t="s">
        <v>483</v>
      </c>
      <c r="F114" s="7" t="s">
        <v>471</v>
      </c>
      <c r="G114" s="7" t="s">
        <v>472</v>
      </c>
      <c r="H114" s="7" t="s">
        <v>473</v>
      </c>
      <c r="I114" s="7">
        <v>14</v>
      </c>
      <c r="J114" s="7">
        <v>13</v>
      </c>
      <c r="K114" s="7">
        <v>3</v>
      </c>
      <c r="L114" s="7">
        <v>276</v>
      </c>
      <c r="M114" s="7">
        <v>29</v>
      </c>
      <c r="N114" s="7">
        <v>27.6</v>
      </c>
      <c r="O114" s="7">
        <v>118.29</v>
      </c>
      <c r="P114" s="7">
        <v>0</v>
      </c>
      <c r="Q114" s="7">
        <v>0</v>
      </c>
      <c r="R114" s="7">
        <v>23</v>
      </c>
      <c r="S114" s="7">
        <v>13</v>
      </c>
      <c r="T114" s="7">
        <v>3</v>
      </c>
      <c r="U114" s="7">
        <v>31</v>
      </c>
      <c r="V114" s="7">
        <v>31.07</v>
      </c>
      <c r="W114" s="7">
        <v>6.57</v>
      </c>
      <c r="X114" s="7">
        <v>11.4</v>
      </c>
      <c r="Y114" s="7" t="s">
        <v>576</v>
      </c>
      <c r="Z114" s="7">
        <v>0</v>
      </c>
      <c r="AA114" s="7">
        <v>48.8</v>
      </c>
      <c r="AB114" s="7">
        <v>9</v>
      </c>
      <c r="AC114" s="7">
        <v>0</v>
      </c>
      <c r="AD114" s="7" t="s">
        <v>37</v>
      </c>
      <c r="AE114" s="3" t="s">
        <v>475</v>
      </c>
      <c r="AF114" s="7" t="s">
        <v>92</v>
      </c>
      <c r="AG114" s="7" t="s">
        <v>476</v>
      </c>
      <c r="AH114" s="7">
        <v>12.5</v>
      </c>
    </row>
    <row r="115" spans="1:34" x14ac:dyDescent="0.3">
      <c r="A115" s="4" t="s">
        <v>733</v>
      </c>
      <c r="B115" s="4" t="s">
        <v>212</v>
      </c>
      <c r="C115" s="4" t="s">
        <v>47</v>
      </c>
      <c r="D115" s="4" t="s">
        <v>717</v>
      </c>
      <c r="E115" s="4" t="s">
        <v>483</v>
      </c>
      <c r="F115" s="4" t="s">
        <v>490</v>
      </c>
      <c r="G115" s="4" t="s">
        <v>472</v>
      </c>
      <c r="H115" s="4" t="s">
        <v>492</v>
      </c>
      <c r="I115" s="4">
        <v>13</v>
      </c>
      <c r="J115" s="4">
        <v>12</v>
      </c>
      <c r="K115" s="4">
        <v>3</v>
      </c>
      <c r="L115" s="4">
        <v>314</v>
      </c>
      <c r="M115" s="4">
        <v>33</v>
      </c>
      <c r="N115" s="4">
        <v>34.89</v>
      </c>
      <c r="O115" s="4">
        <v>167.53</v>
      </c>
      <c r="P115" s="4">
        <v>0</v>
      </c>
      <c r="Q115" s="4">
        <v>0</v>
      </c>
      <c r="R115" s="4">
        <v>31</v>
      </c>
      <c r="S115" s="4">
        <v>31</v>
      </c>
      <c r="T115" s="4">
        <v>0</v>
      </c>
      <c r="U115" s="4">
        <v>0</v>
      </c>
      <c r="V115" s="4" t="s">
        <v>493</v>
      </c>
      <c r="W115" s="4" t="s">
        <v>493</v>
      </c>
      <c r="X115" s="4" t="s">
        <v>493</v>
      </c>
      <c r="Y115" s="4" t="s">
        <v>493</v>
      </c>
      <c r="Z115" s="4">
        <v>0</v>
      </c>
      <c r="AA115" s="4">
        <v>0</v>
      </c>
      <c r="AB115" s="4">
        <v>11</v>
      </c>
      <c r="AC115" s="4">
        <v>0</v>
      </c>
      <c r="AD115" s="4" t="s">
        <v>81</v>
      </c>
      <c r="AE115" s="3" t="s">
        <v>475</v>
      </c>
      <c r="AF115" s="4" t="s">
        <v>122</v>
      </c>
      <c r="AG115" s="4" t="s">
        <v>476</v>
      </c>
      <c r="AH115" s="4">
        <v>2</v>
      </c>
    </row>
    <row r="116" spans="1:34" x14ac:dyDescent="0.3">
      <c r="A116" s="7" t="s">
        <v>734</v>
      </c>
      <c r="B116" s="7" t="s">
        <v>735</v>
      </c>
      <c r="C116" s="7" t="s">
        <v>47</v>
      </c>
      <c r="D116" s="7" t="s">
        <v>717</v>
      </c>
      <c r="E116" s="7" t="s">
        <v>483</v>
      </c>
      <c r="F116" s="7" t="s">
        <v>484</v>
      </c>
      <c r="G116" s="7" t="s">
        <v>491</v>
      </c>
      <c r="H116" s="7" t="s">
        <v>473</v>
      </c>
      <c r="I116" s="7">
        <v>14</v>
      </c>
      <c r="J116" s="7">
        <v>14</v>
      </c>
      <c r="K116" s="7">
        <v>1</v>
      </c>
      <c r="L116" s="7">
        <v>254</v>
      </c>
      <c r="M116" s="7">
        <v>81</v>
      </c>
      <c r="N116" s="7">
        <v>19.54</v>
      </c>
      <c r="O116" s="7">
        <v>182.1</v>
      </c>
      <c r="P116" s="7">
        <v>0</v>
      </c>
      <c r="Q116" s="7">
        <v>0</v>
      </c>
      <c r="R116" s="7">
        <v>28</v>
      </c>
      <c r="S116" s="7">
        <v>28</v>
      </c>
      <c r="T116" s="7">
        <v>1</v>
      </c>
      <c r="U116" s="7">
        <v>8</v>
      </c>
      <c r="V116" s="7">
        <v>19.739999999999998</v>
      </c>
      <c r="W116" s="7">
        <v>6.81</v>
      </c>
      <c r="X116" s="7">
        <v>19.8</v>
      </c>
      <c r="Y116" s="7" t="s">
        <v>736</v>
      </c>
      <c r="Z116" s="7">
        <v>0</v>
      </c>
      <c r="AA116" s="7">
        <v>41.3</v>
      </c>
      <c r="AB116" s="7">
        <v>11</v>
      </c>
      <c r="AC116" s="7">
        <v>0</v>
      </c>
      <c r="AD116" s="7" t="s">
        <v>28</v>
      </c>
      <c r="AE116" s="8" t="s">
        <v>486</v>
      </c>
      <c r="AF116" s="7" t="s">
        <v>129</v>
      </c>
      <c r="AG116" s="7" t="s">
        <v>476</v>
      </c>
      <c r="AH116" s="7">
        <v>6</v>
      </c>
    </row>
    <row r="117" spans="1:34" x14ac:dyDescent="0.3">
      <c r="A117" s="4" t="s">
        <v>737</v>
      </c>
      <c r="B117" s="4" t="s">
        <v>738</v>
      </c>
      <c r="C117" s="4" t="s">
        <v>47</v>
      </c>
      <c r="D117" s="4" t="s">
        <v>717</v>
      </c>
      <c r="E117" s="4" t="s">
        <v>483</v>
      </c>
      <c r="F117" s="4" t="s">
        <v>471</v>
      </c>
      <c r="G117" s="4" t="s">
        <v>472</v>
      </c>
      <c r="H117" s="4" t="s">
        <v>514</v>
      </c>
      <c r="I117" s="4">
        <v>11</v>
      </c>
      <c r="J117" s="4">
        <v>10</v>
      </c>
      <c r="K117" s="4">
        <v>0</v>
      </c>
      <c r="L117" s="4">
        <v>244</v>
      </c>
      <c r="M117" s="4">
        <v>39</v>
      </c>
      <c r="N117" s="4">
        <v>24.4</v>
      </c>
      <c r="O117" s="4">
        <v>90.58</v>
      </c>
      <c r="P117" s="4">
        <v>0</v>
      </c>
      <c r="Q117" s="4">
        <v>0</v>
      </c>
      <c r="R117" s="4">
        <v>20</v>
      </c>
      <c r="S117" s="4">
        <v>12</v>
      </c>
      <c r="T117" s="4">
        <v>2</v>
      </c>
      <c r="U117" s="4">
        <v>16</v>
      </c>
      <c r="V117" s="4">
        <v>14.87</v>
      </c>
      <c r="W117" s="4">
        <v>6.8</v>
      </c>
      <c r="X117" s="4">
        <v>13.2</v>
      </c>
      <c r="Y117" s="4" t="s">
        <v>739</v>
      </c>
      <c r="Z117" s="4">
        <v>0</v>
      </c>
      <c r="AA117" s="4">
        <v>40.9</v>
      </c>
      <c r="AB117" s="4">
        <v>7</v>
      </c>
      <c r="AC117" s="4">
        <v>0</v>
      </c>
      <c r="AD117" s="4" t="s">
        <v>20</v>
      </c>
      <c r="AE117" s="8" t="s">
        <v>486</v>
      </c>
      <c r="AF117" s="4" t="s">
        <v>298</v>
      </c>
      <c r="AG117" s="4" t="s">
        <v>476</v>
      </c>
      <c r="AH117" s="4">
        <v>0.75</v>
      </c>
    </row>
    <row r="118" spans="1:34" x14ac:dyDescent="0.3">
      <c r="A118" s="7" t="s">
        <v>740</v>
      </c>
      <c r="B118" s="7" t="s">
        <v>96</v>
      </c>
      <c r="C118" s="7" t="s">
        <v>47</v>
      </c>
      <c r="D118" s="7" t="s">
        <v>717</v>
      </c>
      <c r="E118" s="7" t="s">
        <v>483</v>
      </c>
      <c r="F118" s="7" t="s">
        <v>471</v>
      </c>
      <c r="G118" s="7" t="s">
        <v>472</v>
      </c>
      <c r="H118" s="7" t="s">
        <v>473</v>
      </c>
      <c r="I118" s="7">
        <v>10</v>
      </c>
      <c r="J118" s="7">
        <v>8</v>
      </c>
      <c r="K118" s="7">
        <v>0</v>
      </c>
      <c r="L118" s="7">
        <v>47</v>
      </c>
      <c r="M118" s="7">
        <v>21</v>
      </c>
      <c r="N118" s="7">
        <v>5.88</v>
      </c>
      <c r="O118" s="7">
        <v>123.42</v>
      </c>
      <c r="P118" s="7">
        <v>0</v>
      </c>
      <c r="Q118" s="7">
        <v>0</v>
      </c>
      <c r="R118" s="7">
        <v>3</v>
      </c>
      <c r="S118" s="7">
        <v>2</v>
      </c>
      <c r="T118" s="7">
        <v>2</v>
      </c>
      <c r="U118" s="7">
        <v>13</v>
      </c>
      <c r="V118" s="7">
        <v>18.649999999999999</v>
      </c>
      <c r="W118" s="7">
        <v>8.67</v>
      </c>
      <c r="X118" s="7">
        <v>11.13</v>
      </c>
      <c r="Y118" s="7" t="s">
        <v>741</v>
      </c>
      <c r="Z118" s="7">
        <v>0</v>
      </c>
      <c r="AA118" s="7">
        <v>32.700000000000003</v>
      </c>
      <c r="AB118" s="7">
        <v>2</v>
      </c>
      <c r="AC118" s="7">
        <v>0</v>
      </c>
      <c r="AD118" s="7" t="s">
        <v>81</v>
      </c>
      <c r="AE118" s="8" t="s">
        <v>486</v>
      </c>
      <c r="AF118" s="7" t="s">
        <v>78</v>
      </c>
      <c r="AG118" s="7" t="s">
        <v>476</v>
      </c>
      <c r="AH118" s="7">
        <v>0.5</v>
      </c>
    </row>
    <row r="119" spans="1:34" x14ac:dyDescent="0.3">
      <c r="A119" s="4" t="s">
        <v>742</v>
      </c>
      <c r="B119" s="4" t="s">
        <v>743</v>
      </c>
      <c r="C119" s="4" t="s">
        <v>47</v>
      </c>
      <c r="D119" s="4" t="s">
        <v>717</v>
      </c>
      <c r="E119" s="4" t="s">
        <v>489</v>
      </c>
      <c r="F119" s="4" t="s">
        <v>490</v>
      </c>
      <c r="G119" s="4" t="s">
        <v>472</v>
      </c>
      <c r="H119" s="4" t="s">
        <v>492</v>
      </c>
      <c r="I119" s="4">
        <v>13</v>
      </c>
      <c r="J119" s="4">
        <v>12</v>
      </c>
      <c r="K119" s="4">
        <v>3</v>
      </c>
      <c r="L119" s="4">
        <v>299</v>
      </c>
      <c r="M119" s="4">
        <v>45</v>
      </c>
      <c r="N119" s="4">
        <v>33.22</v>
      </c>
      <c r="O119" s="4">
        <v>183.16</v>
      </c>
      <c r="P119" s="4">
        <v>0</v>
      </c>
      <c r="Q119" s="4">
        <v>0</v>
      </c>
      <c r="R119" s="4">
        <v>32</v>
      </c>
      <c r="S119" s="4">
        <v>27</v>
      </c>
      <c r="T119" s="4">
        <v>1</v>
      </c>
      <c r="U119" s="4">
        <v>0</v>
      </c>
      <c r="V119" s="4" t="s">
        <v>493</v>
      </c>
      <c r="W119" s="4" t="s">
        <v>493</v>
      </c>
      <c r="X119" s="4" t="s">
        <v>493</v>
      </c>
      <c r="Y119" s="4" t="s">
        <v>493</v>
      </c>
      <c r="Z119" s="4">
        <v>0</v>
      </c>
      <c r="AA119" s="4">
        <v>0</v>
      </c>
      <c r="AB119" s="4">
        <v>7</v>
      </c>
      <c r="AC119" s="4">
        <v>0</v>
      </c>
      <c r="AD119" s="4" t="s">
        <v>55</v>
      </c>
      <c r="AE119" s="8" t="s">
        <v>486</v>
      </c>
      <c r="AF119" s="4" t="s">
        <v>181</v>
      </c>
      <c r="AG119" s="4" t="s">
        <v>476</v>
      </c>
      <c r="AH119" s="4">
        <v>0.5</v>
      </c>
    </row>
    <row r="120" spans="1:34" x14ac:dyDescent="0.3">
      <c r="A120" s="7" t="s">
        <v>744</v>
      </c>
      <c r="B120" s="7" t="s">
        <v>745</v>
      </c>
      <c r="C120" s="7" t="s">
        <v>47</v>
      </c>
      <c r="D120" s="7" t="s">
        <v>717</v>
      </c>
      <c r="E120" s="7" t="s">
        <v>597</v>
      </c>
      <c r="F120" s="7" t="s">
        <v>471</v>
      </c>
      <c r="G120" s="7" t="s">
        <v>491</v>
      </c>
      <c r="H120" s="7" t="s">
        <v>500</v>
      </c>
      <c r="I120" s="7">
        <v>12</v>
      </c>
      <c r="J120" s="7">
        <v>10</v>
      </c>
      <c r="K120" s="7">
        <v>1</v>
      </c>
      <c r="L120" s="7">
        <v>95</v>
      </c>
      <c r="M120" s="7">
        <v>17</v>
      </c>
      <c r="N120" s="7">
        <v>10.56</v>
      </c>
      <c r="O120" s="7">
        <v>93.33</v>
      </c>
      <c r="P120" s="7">
        <v>0</v>
      </c>
      <c r="Q120" s="7">
        <v>0</v>
      </c>
      <c r="R120" s="7">
        <v>7</v>
      </c>
      <c r="S120" s="7">
        <v>4</v>
      </c>
      <c r="T120" s="7">
        <v>2</v>
      </c>
      <c r="U120" s="7">
        <v>6</v>
      </c>
      <c r="V120" s="7">
        <v>32.340000000000003</v>
      </c>
      <c r="W120" s="7">
        <v>9.19</v>
      </c>
      <c r="X120" s="7">
        <v>18.239999999999998</v>
      </c>
      <c r="Y120" s="7" t="s">
        <v>746</v>
      </c>
      <c r="Z120" s="7">
        <v>0</v>
      </c>
      <c r="AA120" s="7">
        <v>41.7</v>
      </c>
      <c r="AB120" s="7">
        <v>9</v>
      </c>
      <c r="AC120" s="7">
        <v>0</v>
      </c>
      <c r="AD120" s="7" t="s">
        <v>28</v>
      </c>
      <c r="AE120" s="3" t="s">
        <v>475</v>
      </c>
      <c r="AF120" s="7" t="s">
        <v>207</v>
      </c>
      <c r="AG120" s="7" t="s">
        <v>476</v>
      </c>
      <c r="AH120" s="7">
        <v>18</v>
      </c>
    </row>
    <row r="121" spans="1:34" x14ac:dyDescent="0.3">
      <c r="A121" s="4" t="s">
        <v>747</v>
      </c>
      <c r="B121" s="4" t="s">
        <v>158</v>
      </c>
      <c r="C121" s="4" t="s">
        <v>47</v>
      </c>
      <c r="D121" s="4" t="s">
        <v>717</v>
      </c>
      <c r="E121" s="4" t="s">
        <v>483</v>
      </c>
      <c r="F121" s="4" t="s">
        <v>471</v>
      </c>
      <c r="G121" s="4" t="s">
        <v>491</v>
      </c>
      <c r="H121" s="4" t="s">
        <v>556</v>
      </c>
      <c r="I121" s="4">
        <v>12</v>
      </c>
      <c r="J121" s="4">
        <v>11</v>
      </c>
      <c r="K121" s="4">
        <v>0</v>
      </c>
      <c r="L121" s="4">
        <v>98</v>
      </c>
      <c r="M121" s="4">
        <v>18</v>
      </c>
      <c r="N121" s="4">
        <v>8.91</v>
      </c>
      <c r="O121" s="4">
        <v>129.94999999999999</v>
      </c>
      <c r="P121" s="4">
        <v>0</v>
      </c>
      <c r="Q121" s="4">
        <v>0</v>
      </c>
      <c r="R121" s="4">
        <v>8</v>
      </c>
      <c r="S121" s="4">
        <v>4</v>
      </c>
      <c r="T121" s="4">
        <v>2</v>
      </c>
      <c r="U121" s="4">
        <v>21</v>
      </c>
      <c r="V121" s="4">
        <v>19.3</v>
      </c>
      <c r="W121" s="4">
        <v>8.65</v>
      </c>
      <c r="X121" s="4">
        <v>15.99</v>
      </c>
      <c r="Y121" s="4" t="s">
        <v>538</v>
      </c>
      <c r="Z121" s="4">
        <v>0</v>
      </c>
      <c r="AA121" s="4">
        <v>40.9</v>
      </c>
      <c r="AB121" s="4">
        <v>5</v>
      </c>
      <c r="AC121" s="4">
        <v>0</v>
      </c>
      <c r="AD121" s="4" t="s">
        <v>55</v>
      </c>
      <c r="AE121" s="8" t="s">
        <v>486</v>
      </c>
      <c r="AF121" s="4" t="s">
        <v>181</v>
      </c>
      <c r="AG121" s="4" t="s">
        <v>476</v>
      </c>
      <c r="AH121" s="4">
        <v>2</v>
      </c>
    </row>
    <row r="122" spans="1:34" x14ac:dyDescent="0.3">
      <c r="A122" s="7" t="s">
        <v>748</v>
      </c>
      <c r="B122" s="7" t="s">
        <v>749</v>
      </c>
      <c r="C122" s="7" t="s">
        <v>81</v>
      </c>
      <c r="D122" s="7" t="s">
        <v>750</v>
      </c>
      <c r="E122" s="7" t="s">
        <v>597</v>
      </c>
      <c r="F122" s="7" t="s">
        <v>484</v>
      </c>
      <c r="G122" s="7" t="s">
        <v>472</v>
      </c>
      <c r="H122" s="7" t="s">
        <v>473</v>
      </c>
      <c r="I122" s="7">
        <v>10</v>
      </c>
      <c r="J122" s="7">
        <v>10</v>
      </c>
      <c r="K122" s="7">
        <v>1</v>
      </c>
      <c r="L122" s="7">
        <v>394</v>
      </c>
      <c r="M122" s="7">
        <v>49</v>
      </c>
      <c r="N122" s="7">
        <v>43.78</v>
      </c>
      <c r="O122" s="7">
        <v>123.16</v>
      </c>
      <c r="P122" s="7">
        <v>0</v>
      </c>
      <c r="Q122" s="7">
        <v>0</v>
      </c>
      <c r="R122" s="7">
        <v>37</v>
      </c>
      <c r="S122" s="7">
        <v>43</v>
      </c>
      <c r="T122" s="7">
        <v>0</v>
      </c>
      <c r="U122" s="7">
        <v>8</v>
      </c>
      <c r="V122" s="7">
        <v>15.43</v>
      </c>
      <c r="W122" s="7">
        <v>8.61</v>
      </c>
      <c r="X122" s="7">
        <v>18.29</v>
      </c>
      <c r="Y122" s="7" t="s">
        <v>751</v>
      </c>
      <c r="Z122" s="7">
        <v>0</v>
      </c>
      <c r="AA122" s="7">
        <v>33</v>
      </c>
      <c r="AB122" s="7">
        <v>4</v>
      </c>
      <c r="AC122" s="7">
        <v>0</v>
      </c>
      <c r="AD122" s="7" t="s">
        <v>142</v>
      </c>
      <c r="AE122" s="3" t="s">
        <v>475</v>
      </c>
      <c r="AF122" s="7" t="s">
        <v>139</v>
      </c>
      <c r="AG122" s="7" t="s">
        <v>476</v>
      </c>
      <c r="AH122" s="7">
        <v>0.2</v>
      </c>
    </row>
    <row r="123" spans="1:34" x14ac:dyDescent="0.3">
      <c r="A123" s="4" t="s">
        <v>752</v>
      </c>
      <c r="B123" s="4" t="s">
        <v>85</v>
      </c>
      <c r="C123" s="4" t="s">
        <v>81</v>
      </c>
      <c r="D123" s="4" t="s">
        <v>750</v>
      </c>
      <c r="E123" s="4" t="s">
        <v>483</v>
      </c>
      <c r="F123" s="4" t="s">
        <v>484</v>
      </c>
      <c r="G123" s="4" t="s">
        <v>491</v>
      </c>
      <c r="H123" s="4" t="s">
        <v>473</v>
      </c>
      <c r="I123" s="4">
        <v>8</v>
      </c>
      <c r="J123" s="4">
        <v>6</v>
      </c>
      <c r="K123" s="4">
        <v>2</v>
      </c>
      <c r="L123" s="4">
        <v>186</v>
      </c>
      <c r="M123" s="4">
        <v>37</v>
      </c>
      <c r="N123" s="4">
        <v>46.5</v>
      </c>
      <c r="O123" s="4">
        <v>132.41</v>
      </c>
      <c r="P123" s="4">
        <v>0</v>
      </c>
      <c r="Q123" s="4">
        <v>0</v>
      </c>
      <c r="R123" s="4">
        <v>19</v>
      </c>
      <c r="S123" s="4">
        <v>16</v>
      </c>
      <c r="T123" s="4">
        <v>0</v>
      </c>
      <c r="U123" s="4">
        <v>15</v>
      </c>
      <c r="V123" s="4">
        <v>21.6</v>
      </c>
      <c r="W123" s="4">
        <v>9.6</v>
      </c>
      <c r="X123" s="4">
        <v>10.41</v>
      </c>
      <c r="Y123" s="4" t="s">
        <v>753</v>
      </c>
      <c r="Z123" s="4">
        <v>0</v>
      </c>
      <c r="AA123" s="4">
        <v>29.5</v>
      </c>
      <c r="AB123" s="4">
        <v>4</v>
      </c>
      <c r="AC123" s="4">
        <v>0</v>
      </c>
      <c r="AD123" s="4" t="s">
        <v>20</v>
      </c>
      <c r="AE123" s="3" t="s">
        <v>475</v>
      </c>
      <c r="AF123" s="4" t="s">
        <v>269</v>
      </c>
      <c r="AG123" s="4" t="s">
        <v>476</v>
      </c>
      <c r="AH123" s="4">
        <v>0.4</v>
      </c>
    </row>
    <row r="124" spans="1:34" x14ac:dyDescent="0.3">
      <c r="A124" s="7" t="s">
        <v>754</v>
      </c>
      <c r="B124" s="7" t="s">
        <v>755</v>
      </c>
      <c r="C124" s="7" t="s">
        <v>81</v>
      </c>
      <c r="D124" s="7" t="s">
        <v>750</v>
      </c>
      <c r="E124" s="7" t="s">
        <v>483</v>
      </c>
      <c r="F124" s="7" t="s">
        <v>484</v>
      </c>
      <c r="G124" s="7" t="s">
        <v>472</v>
      </c>
      <c r="H124" s="7" t="s">
        <v>516</v>
      </c>
      <c r="I124" s="7">
        <v>12</v>
      </c>
      <c r="J124" s="7">
        <v>10</v>
      </c>
      <c r="K124" s="7">
        <v>1</v>
      </c>
      <c r="L124" s="7">
        <v>331</v>
      </c>
      <c r="M124" s="7">
        <v>66</v>
      </c>
      <c r="N124" s="7">
        <v>36.78</v>
      </c>
      <c r="O124" s="7">
        <v>179.06</v>
      </c>
      <c r="P124" s="7">
        <v>0</v>
      </c>
      <c r="Q124" s="7">
        <v>0</v>
      </c>
      <c r="R124" s="7">
        <v>37</v>
      </c>
      <c r="S124" s="7">
        <v>34</v>
      </c>
      <c r="T124" s="7">
        <v>0</v>
      </c>
      <c r="U124" s="7">
        <v>26</v>
      </c>
      <c r="V124" s="7">
        <v>14.84</v>
      </c>
      <c r="W124" s="7">
        <v>10.06</v>
      </c>
      <c r="X124" s="7">
        <v>19.850000000000001</v>
      </c>
      <c r="Y124" s="7" t="s">
        <v>756</v>
      </c>
      <c r="Z124" s="7">
        <v>0</v>
      </c>
      <c r="AA124" s="7">
        <v>40.799999999999997</v>
      </c>
      <c r="AB124" s="7">
        <v>5</v>
      </c>
      <c r="AC124" s="7">
        <v>0</v>
      </c>
      <c r="AD124" s="7" t="s">
        <v>37</v>
      </c>
      <c r="AE124" s="3" t="s">
        <v>475</v>
      </c>
      <c r="AF124" s="7" t="s">
        <v>235</v>
      </c>
      <c r="AG124" s="7" t="s">
        <v>476</v>
      </c>
      <c r="AH124" s="7">
        <v>0.75</v>
      </c>
    </row>
    <row r="125" spans="1:34" x14ac:dyDescent="0.3">
      <c r="A125" s="4" t="s">
        <v>757</v>
      </c>
      <c r="B125" s="4" t="s">
        <v>758</v>
      </c>
      <c r="C125" s="4" t="s">
        <v>81</v>
      </c>
      <c r="D125" s="4" t="s">
        <v>750</v>
      </c>
      <c r="E125" s="4" t="s">
        <v>483</v>
      </c>
      <c r="F125" s="4" t="s">
        <v>490</v>
      </c>
      <c r="G125" s="4" t="s">
        <v>472</v>
      </c>
      <c r="H125" s="4" t="s">
        <v>492</v>
      </c>
      <c r="I125" s="4">
        <v>11</v>
      </c>
      <c r="J125" s="4">
        <v>11</v>
      </c>
      <c r="K125" s="4">
        <v>2</v>
      </c>
      <c r="L125" s="4">
        <v>230</v>
      </c>
      <c r="M125" s="4">
        <v>119</v>
      </c>
      <c r="N125" s="4">
        <v>25.56</v>
      </c>
      <c r="O125" s="4">
        <v>155</v>
      </c>
      <c r="P125" s="4">
        <v>0</v>
      </c>
      <c r="Q125" s="4">
        <v>0</v>
      </c>
      <c r="R125" s="4">
        <v>20</v>
      </c>
      <c r="S125" s="4">
        <v>18</v>
      </c>
      <c r="T125" s="4">
        <v>0</v>
      </c>
      <c r="U125" s="4">
        <v>0</v>
      </c>
      <c r="V125" s="4" t="s">
        <v>493</v>
      </c>
      <c r="W125" s="4" t="s">
        <v>493</v>
      </c>
      <c r="X125" s="4" t="s">
        <v>493</v>
      </c>
      <c r="Y125" s="4" t="s">
        <v>493</v>
      </c>
      <c r="Z125" s="4">
        <v>0</v>
      </c>
      <c r="AA125" s="4">
        <v>0</v>
      </c>
      <c r="AB125" s="4">
        <v>11</v>
      </c>
      <c r="AC125" s="4">
        <v>0</v>
      </c>
      <c r="AD125" s="4" t="s">
        <v>19</v>
      </c>
      <c r="AE125" s="3" t="s">
        <v>475</v>
      </c>
      <c r="AF125" s="4" t="s">
        <v>318</v>
      </c>
      <c r="AG125" s="4" t="s">
        <v>502</v>
      </c>
      <c r="AH125" s="4">
        <v>6</v>
      </c>
    </row>
    <row r="126" spans="1:34" x14ac:dyDescent="0.3">
      <c r="A126" s="7" t="s">
        <v>759</v>
      </c>
      <c r="B126" s="7" t="s">
        <v>146</v>
      </c>
      <c r="C126" s="7" t="s">
        <v>81</v>
      </c>
      <c r="D126" s="7" t="s">
        <v>750</v>
      </c>
      <c r="E126" s="7" t="s">
        <v>536</v>
      </c>
      <c r="F126" s="7" t="s">
        <v>505</v>
      </c>
      <c r="G126" s="7" t="s">
        <v>472</v>
      </c>
      <c r="H126" s="7" t="s">
        <v>492</v>
      </c>
      <c r="I126" s="7">
        <v>9</v>
      </c>
      <c r="J126" s="7">
        <v>8</v>
      </c>
      <c r="K126" s="7">
        <v>1</v>
      </c>
      <c r="L126" s="7">
        <v>378</v>
      </c>
      <c r="M126" s="7">
        <v>64</v>
      </c>
      <c r="N126" s="7">
        <v>54</v>
      </c>
      <c r="O126" s="7">
        <v>132.53</v>
      </c>
      <c r="P126" s="7">
        <v>0</v>
      </c>
      <c r="Q126" s="7">
        <v>0</v>
      </c>
      <c r="R126" s="7">
        <v>46</v>
      </c>
      <c r="S126" s="7">
        <v>23</v>
      </c>
      <c r="T126" s="7">
        <v>0</v>
      </c>
      <c r="U126" s="7">
        <v>0</v>
      </c>
      <c r="V126" s="7" t="s">
        <v>493</v>
      </c>
      <c r="W126" s="7" t="s">
        <v>493</v>
      </c>
      <c r="X126" s="7" t="s">
        <v>493</v>
      </c>
      <c r="Y126" s="7" t="s">
        <v>493</v>
      </c>
      <c r="Z126" s="7">
        <v>0</v>
      </c>
      <c r="AA126" s="7">
        <v>0</v>
      </c>
      <c r="AB126" s="7">
        <v>5</v>
      </c>
      <c r="AC126" s="7">
        <v>4</v>
      </c>
      <c r="AD126" s="7" t="s">
        <v>28</v>
      </c>
      <c r="AE126" s="8" t="s">
        <v>486</v>
      </c>
      <c r="AF126" s="7" t="s">
        <v>416</v>
      </c>
      <c r="AG126" s="7" t="s">
        <v>476</v>
      </c>
      <c r="AH126" s="7">
        <v>4</v>
      </c>
    </row>
    <row r="127" spans="1:34" x14ac:dyDescent="0.3">
      <c r="A127" s="4" t="s">
        <v>760</v>
      </c>
      <c r="B127" s="4" t="s">
        <v>761</v>
      </c>
      <c r="C127" s="4" t="s">
        <v>81</v>
      </c>
      <c r="D127" s="4" t="s">
        <v>750</v>
      </c>
      <c r="E127" s="4" t="s">
        <v>483</v>
      </c>
      <c r="F127" s="4" t="s">
        <v>490</v>
      </c>
      <c r="G127" s="4" t="s">
        <v>472</v>
      </c>
      <c r="H127" s="4" t="s">
        <v>492</v>
      </c>
      <c r="I127" s="4">
        <v>8</v>
      </c>
      <c r="J127" s="4">
        <v>7</v>
      </c>
      <c r="K127" s="4">
        <v>0</v>
      </c>
      <c r="L127" s="4">
        <v>381</v>
      </c>
      <c r="M127" s="4">
        <v>108</v>
      </c>
      <c r="N127" s="4">
        <v>54.43</v>
      </c>
      <c r="O127" s="4">
        <v>111.89</v>
      </c>
      <c r="P127" s="4">
        <v>0</v>
      </c>
      <c r="Q127" s="4">
        <v>0</v>
      </c>
      <c r="R127" s="4">
        <v>38</v>
      </c>
      <c r="S127" s="4">
        <v>40</v>
      </c>
      <c r="T127" s="4">
        <v>0</v>
      </c>
      <c r="U127" s="4">
        <v>0</v>
      </c>
      <c r="V127" s="4" t="s">
        <v>493</v>
      </c>
      <c r="W127" s="4" t="s">
        <v>493</v>
      </c>
      <c r="X127" s="4" t="s">
        <v>493</v>
      </c>
      <c r="Y127" s="4" t="s">
        <v>493</v>
      </c>
      <c r="Z127" s="4">
        <v>0</v>
      </c>
      <c r="AA127" s="4">
        <v>0</v>
      </c>
      <c r="AB127" s="4">
        <v>2</v>
      </c>
      <c r="AC127" s="4">
        <v>0</v>
      </c>
      <c r="AD127" s="4" t="s">
        <v>55</v>
      </c>
      <c r="AE127" s="8" t="s">
        <v>486</v>
      </c>
      <c r="AF127" s="4" t="s">
        <v>176</v>
      </c>
      <c r="AG127" s="4" t="s">
        <v>476</v>
      </c>
      <c r="AH127" s="4">
        <v>3</v>
      </c>
    </row>
    <row r="128" spans="1:34" x14ac:dyDescent="0.3">
      <c r="A128" s="7" t="s">
        <v>762</v>
      </c>
      <c r="B128" s="7" t="s">
        <v>175</v>
      </c>
      <c r="C128" s="7" t="s">
        <v>81</v>
      </c>
      <c r="D128" s="7" t="s">
        <v>750</v>
      </c>
      <c r="E128" s="7" t="s">
        <v>559</v>
      </c>
      <c r="F128" s="7" t="s">
        <v>471</v>
      </c>
      <c r="G128" s="7" t="s">
        <v>472</v>
      </c>
      <c r="H128" s="7" t="s">
        <v>509</v>
      </c>
      <c r="I128" s="7">
        <v>10</v>
      </c>
      <c r="J128" s="7">
        <v>8</v>
      </c>
      <c r="K128" s="7">
        <v>3</v>
      </c>
      <c r="L128" s="7">
        <v>231</v>
      </c>
      <c r="M128" s="7">
        <v>10</v>
      </c>
      <c r="N128" s="7">
        <v>46.2</v>
      </c>
      <c r="O128" s="7">
        <v>99.22</v>
      </c>
      <c r="P128" s="7">
        <v>0</v>
      </c>
      <c r="Q128" s="7">
        <v>0</v>
      </c>
      <c r="R128" s="7">
        <v>19</v>
      </c>
      <c r="S128" s="7">
        <v>11</v>
      </c>
      <c r="T128" s="7">
        <v>0</v>
      </c>
      <c r="U128" s="7">
        <v>14</v>
      </c>
      <c r="V128" s="7">
        <v>15.23</v>
      </c>
      <c r="W128" s="7">
        <v>7.5</v>
      </c>
      <c r="X128" s="7">
        <v>18.45</v>
      </c>
      <c r="Y128" s="7" t="s">
        <v>532</v>
      </c>
      <c r="Z128" s="7">
        <v>0</v>
      </c>
      <c r="AA128" s="7">
        <v>28.3</v>
      </c>
      <c r="AB128" s="7">
        <v>2</v>
      </c>
      <c r="AC128" s="7">
        <v>0</v>
      </c>
      <c r="AD128" s="7" t="s">
        <v>55</v>
      </c>
      <c r="AE128" s="8" t="s">
        <v>486</v>
      </c>
      <c r="AF128" s="7" t="s">
        <v>352</v>
      </c>
      <c r="AG128" s="7" t="s">
        <v>476</v>
      </c>
      <c r="AH128" s="7">
        <v>15</v>
      </c>
    </row>
    <row r="129" spans="1:34" x14ac:dyDescent="0.3">
      <c r="A129" s="4" t="s">
        <v>763</v>
      </c>
      <c r="B129" s="4" t="s">
        <v>764</v>
      </c>
      <c r="C129" s="4" t="s">
        <v>81</v>
      </c>
      <c r="D129" s="4" t="s">
        <v>750</v>
      </c>
      <c r="E129" s="4" t="s">
        <v>589</v>
      </c>
      <c r="F129" s="4" t="s">
        <v>484</v>
      </c>
      <c r="G129" s="4" t="s">
        <v>472</v>
      </c>
      <c r="H129" s="4" t="s">
        <v>500</v>
      </c>
      <c r="I129" s="4">
        <v>12</v>
      </c>
      <c r="J129" s="4">
        <v>10</v>
      </c>
      <c r="K129" s="4">
        <v>3</v>
      </c>
      <c r="L129" s="4">
        <v>129</v>
      </c>
      <c r="M129" s="4">
        <v>81</v>
      </c>
      <c r="N129" s="4">
        <v>18.43</v>
      </c>
      <c r="O129" s="4">
        <v>125.06</v>
      </c>
      <c r="P129" s="4">
        <v>0</v>
      </c>
      <c r="Q129" s="4">
        <v>0</v>
      </c>
      <c r="R129" s="4">
        <v>13</v>
      </c>
      <c r="S129" s="4">
        <v>11</v>
      </c>
      <c r="T129" s="4">
        <v>0</v>
      </c>
      <c r="U129" s="4">
        <v>18</v>
      </c>
      <c r="V129" s="4">
        <v>16.510000000000002</v>
      </c>
      <c r="W129" s="4">
        <v>9.75</v>
      </c>
      <c r="X129" s="4">
        <v>16.43</v>
      </c>
      <c r="Y129" s="4" t="s">
        <v>765</v>
      </c>
      <c r="Z129" s="4">
        <v>0</v>
      </c>
      <c r="AA129" s="4">
        <v>32.200000000000003</v>
      </c>
      <c r="AB129" s="4">
        <v>10</v>
      </c>
      <c r="AC129" s="4">
        <v>0</v>
      </c>
      <c r="AD129" s="4" t="s">
        <v>142</v>
      </c>
      <c r="AE129" s="3" t="s">
        <v>475</v>
      </c>
      <c r="AF129" s="4" t="s">
        <v>139</v>
      </c>
      <c r="AG129" s="4" t="s">
        <v>476</v>
      </c>
      <c r="AH129" s="4">
        <v>5</v>
      </c>
    </row>
    <row r="130" spans="1:34" x14ac:dyDescent="0.3">
      <c r="A130" s="7" t="s">
        <v>766</v>
      </c>
      <c r="B130" s="7" t="s">
        <v>391</v>
      </c>
      <c r="C130" s="7" t="s">
        <v>81</v>
      </c>
      <c r="D130" s="7" t="s">
        <v>750</v>
      </c>
      <c r="E130" s="7" t="s">
        <v>489</v>
      </c>
      <c r="F130" s="7" t="s">
        <v>490</v>
      </c>
      <c r="G130" s="7" t="s">
        <v>491</v>
      </c>
      <c r="H130" s="7" t="s">
        <v>492</v>
      </c>
      <c r="I130" s="7">
        <v>13</v>
      </c>
      <c r="J130" s="7">
        <v>12</v>
      </c>
      <c r="K130" s="7">
        <v>3</v>
      </c>
      <c r="L130" s="7">
        <v>175</v>
      </c>
      <c r="M130" s="7">
        <v>91</v>
      </c>
      <c r="N130" s="7">
        <v>19.440000000000001</v>
      </c>
      <c r="O130" s="7">
        <v>152.94999999999999</v>
      </c>
      <c r="P130" s="7">
        <v>0</v>
      </c>
      <c r="Q130" s="7">
        <v>0</v>
      </c>
      <c r="R130" s="7">
        <v>17</v>
      </c>
      <c r="S130" s="7">
        <v>10</v>
      </c>
      <c r="T130" s="7">
        <v>0</v>
      </c>
      <c r="U130" s="7">
        <v>0</v>
      </c>
      <c r="V130" s="7" t="s">
        <v>493</v>
      </c>
      <c r="W130" s="7" t="s">
        <v>493</v>
      </c>
      <c r="X130" s="7" t="s">
        <v>493</v>
      </c>
      <c r="Y130" s="7" t="s">
        <v>493</v>
      </c>
      <c r="Z130" s="7">
        <v>0</v>
      </c>
      <c r="AA130" s="7">
        <v>0</v>
      </c>
      <c r="AB130" s="7">
        <v>11</v>
      </c>
      <c r="AC130" s="7">
        <v>0</v>
      </c>
      <c r="AD130" s="7" t="s">
        <v>55</v>
      </c>
      <c r="AE130" s="8" t="s">
        <v>486</v>
      </c>
      <c r="AF130" s="7" t="s">
        <v>176</v>
      </c>
      <c r="AG130" s="7" t="s">
        <v>476</v>
      </c>
      <c r="AH130" s="7">
        <v>7.5</v>
      </c>
    </row>
    <row r="131" spans="1:34" x14ac:dyDescent="0.3">
      <c r="A131" s="4" t="s">
        <v>767</v>
      </c>
      <c r="B131" s="4" t="s">
        <v>201</v>
      </c>
      <c r="C131" s="4" t="s">
        <v>81</v>
      </c>
      <c r="D131" s="4" t="s">
        <v>750</v>
      </c>
      <c r="E131" s="4" t="s">
        <v>543</v>
      </c>
      <c r="F131" s="4" t="s">
        <v>490</v>
      </c>
      <c r="G131" s="4" t="s">
        <v>491</v>
      </c>
      <c r="H131" s="4" t="s">
        <v>492</v>
      </c>
      <c r="I131" s="4">
        <v>9</v>
      </c>
      <c r="J131" s="4">
        <v>9</v>
      </c>
      <c r="K131" s="4">
        <v>3</v>
      </c>
      <c r="L131" s="4">
        <v>173</v>
      </c>
      <c r="M131" s="4">
        <v>99</v>
      </c>
      <c r="N131" s="4">
        <v>28.83</v>
      </c>
      <c r="O131" s="4">
        <v>126.79</v>
      </c>
      <c r="P131" s="4">
        <v>0</v>
      </c>
      <c r="Q131" s="4">
        <v>0</v>
      </c>
      <c r="R131" s="4">
        <v>22</v>
      </c>
      <c r="S131" s="4">
        <v>19</v>
      </c>
      <c r="T131" s="4">
        <v>0</v>
      </c>
      <c r="U131" s="4">
        <v>0</v>
      </c>
      <c r="V131" s="4" t="s">
        <v>493</v>
      </c>
      <c r="W131" s="4" t="s">
        <v>493</v>
      </c>
      <c r="X131" s="4" t="s">
        <v>493</v>
      </c>
      <c r="Y131" s="4" t="s">
        <v>493</v>
      </c>
      <c r="Z131" s="4">
        <v>0</v>
      </c>
      <c r="AA131" s="4">
        <v>0</v>
      </c>
      <c r="AB131" s="4">
        <v>3</v>
      </c>
      <c r="AC131" s="4">
        <v>0</v>
      </c>
      <c r="AD131" s="4" t="s">
        <v>20</v>
      </c>
      <c r="AE131" s="3" t="s">
        <v>475</v>
      </c>
      <c r="AF131" s="4" t="s">
        <v>269</v>
      </c>
      <c r="AG131" s="4" t="s">
        <v>476</v>
      </c>
      <c r="AH131" s="4">
        <v>7.5</v>
      </c>
    </row>
    <row r="132" spans="1:34" x14ac:dyDescent="0.3">
      <c r="A132" s="7" t="s">
        <v>768</v>
      </c>
      <c r="B132" s="7" t="s">
        <v>273</v>
      </c>
      <c r="C132" s="7" t="s">
        <v>81</v>
      </c>
      <c r="D132" s="7" t="s">
        <v>750</v>
      </c>
      <c r="E132" s="7" t="s">
        <v>483</v>
      </c>
      <c r="F132" s="7" t="s">
        <v>471</v>
      </c>
      <c r="G132" s="7" t="s">
        <v>491</v>
      </c>
      <c r="H132" s="7" t="s">
        <v>556</v>
      </c>
      <c r="I132" s="7">
        <v>14</v>
      </c>
      <c r="J132" s="7">
        <v>13</v>
      </c>
      <c r="K132" s="7">
        <v>1</v>
      </c>
      <c r="L132" s="7">
        <v>200</v>
      </c>
      <c r="M132" s="7">
        <v>21</v>
      </c>
      <c r="N132" s="7">
        <v>16.670000000000002</v>
      </c>
      <c r="O132" s="7">
        <v>99.34</v>
      </c>
      <c r="P132" s="7">
        <v>0</v>
      </c>
      <c r="Q132" s="7">
        <v>0</v>
      </c>
      <c r="R132" s="7">
        <v>16</v>
      </c>
      <c r="S132" s="7">
        <v>10</v>
      </c>
      <c r="T132" s="7">
        <v>0</v>
      </c>
      <c r="U132" s="7">
        <v>8</v>
      </c>
      <c r="V132" s="7">
        <v>31.86</v>
      </c>
      <c r="W132" s="7">
        <v>10.220000000000001</v>
      </c>
      <c r="X132" s="7">
        <v>18.82</v>
      </c>
      <c r="Y132" s="7" t="s">
        <v>769</v>
      </c>
      <c r="Z132" s="7">
        <v>0</v>
      </c>
      <c r="AA132" s="7">
        <v>46.4</v>
      </c>
      <c r="AB132" s="7">
        <v>3</v>
      </c>
      <c r="AC132" s="7">
        <v>0</v>
      </c>
      <c r="AD132" s="7" t="s">
        <v>55</v>
      </c>
      <c r="AE132" s="8" t="s">
        <v>486</v>
      </c>
      <c r="AF132" s="7" t="s">
        <v>352</v>
      </c>
      <c r="AG132" s="7" t="s">
        <v>476</v>
      </c>
      <c r="AH132" s="7">
        <v>5</v>
      </c>
    </row>
    <row r="133" spans="1:34" x14ac:dyDescent="0.3">
      <c r="A133" s="4" t="s">
        <v>770</v>
      </c>
      <c r="B133" s="4" t="s">
        <v>771</v>
      </c>
      <c r="C133" s="4" t="s">
        <v>81</v>
      </c>
      <c r="D133" s="4" t="s">
        <v>750</v>
      </c>
      <c r="E133" s="4" t="s">
        <v>483</v>
      </c>
      <c r="F133" s="4" t="s">
        <v>471</v>
      </c>
      <c r="G133" s="4" t="s">
        <v>491</v>
      </c>
      <c r="H133" s="4" t="s">
        <v>480</v>
      </c>
      <c r="I133" s="4">
        <v>9</v>
      </c>
      <c r="J133" s="4">
        <v>9</v>
      </c>
      <c r="K133" s="4">
        <v>1</v>
      </c>
      <c r="L133" s="4">
        <v>127</v>
      </c>
      <c r="M133" s="4">
        <v>38</v>
      </c>
      <c r="N133" s="4">
        <v>15.88</v>
      </c>
      <c r="O133" s="4">
        <v>125.17</v>
      </c>
      <c r="P133" s="4">
        <v>0</v>
      </c>
      <c r="Q133" s="4">
        <v>0</v>
      </c>
      <c r="R133" s="4">
        <v>10</v>
      </c>
      <c r="S133" s="4">
        <v>6</v>
      </c>
      <c r="T133" s="4">
        <v>2</v>
      </c>
      <c r="U133" s="4">
        <v>0</v>
      </c>
      <c r="V133" s="4">
        <v>33.51</v>
      </c>
      <c r="W133" s="4">
        <v>10.43</v>
      </c>
      <c r="X133" s="4">
        <v>17.920000000000002</v>
      </c>
      <c r="Y133" s="4" t="s">
        <v>772</v>
      </c>
      <c r="Z133" s="4">
        <v>0</v>
      </c>
      <c r="AA133" s="4">
        <v>32.700000000000003</v>
      </c>
      <c r="AB133" s="4">
        <v>5</v>
      </c>
      <c r="AC133" s="4">
        <v>0</v>
      </c>
      <c r="AD133" s="4" t="s">
        <v>37</v>
      </c>
      <c r="AE133" s="3" t="s">
        <v>475</v>
      </c>
      <c r="AF133" s="4" t="s">
        <v>235</v>
      </c>
      <c r="AG133" s="4" t="s">
        <v>476</v>
      </c>
      <c r="AH133" s="4">
        <v>7.5</v>
      </c>
    </row>
    <row r="134" spans="1:34" x14ac:dyDescent="0.3">
      <c r="A134" s="7" t="s">
        <v>773</v>
      </c>
      <c r="B134" s="7" t="s">
        <v>240</v>
      </c>
      <c r="C134" s="7" t="s">
        <v>81</v>
      </c>
      <c r="D134" s="7" t="s">
        <v>750</v>
      </c>
      <c r="E134" s="7" t="s">
        <v>559</v>
      </c>
      <c r="F134" s="7" t="s">
        <v>484</v>
      </c>
      <c r="G134" s="7" t="s">
        <v>491</v>
      </c>
      <c r="H134" s="7" t="s">
        <v>556</v>
      </c>
      <c r="I134" s="7">
        <v>10</v>
      </c>
      <c r="J134" s="7">
        <v>10</v>
      </c>
      <c r="K134" s="7">
        <v>1</v>
      </c>
      <c r="L134" s="7">
        <v>472</v>
      </c>
      <c r="M134" s="7">
        <v>49</v>
      </c>
      <c r="N134" s="7">
        <v>52.44</v>
      </c>
      <c r="O134" s="7">
        <v>178.7</v>
      </c>
      <c r="P134" s="7">
        <v>0</v>
      </c>
      <c r="Q134" s="7">
        <v>0</v>
      </c>
      <c r="R134" s="7">
        <v>56</v>
      </c>
      <c r="S134" s="7">
        <v>53</v>
      </c>
      <c r="T134" s="7">
        <v>0</v>
      </c>
      <c r="U134" s="7">
        <v>15</v>
      </c>
      <c r="V134" s="7">
        <v>18.670000000000002</v>
      </c>
      <c r="W134" s="7">
        <v>7.76</v>
      </c>
      <c r="X134" s="7">
        <v>16.13</v>
      </c>
      <c r="Y134" s="7" t="s">
        <v>678</v>
      </c>
      <c r="Z134" s="7">
        <v>0</v>
      </c>
      <c r="AA134" s="7">
        <v>33.1</v>
      </c>
      <c r="AB134" s="7">
        <v>9</v>
      </c>
      <c r="AC134" s="7">
        <v>0</v>
      </c>
      <c r="AD134" s="7" t="s">
        <v>37</v>
      </c>
      <c r="AE134" s="3" t="s">
        <v>475</v>
      </c>
      <c r="AF134" s="7" t="s">
        <v>235</v>
      </c>
      <c r="AG134" s="7" t="s">
        <v>476</v>
      </c>
      <c r="AH134" s="7">
        <v>4</v>
      </c>
    </row>
    <row r="135" spans="1:34" x14ac:dyDescent="0.3">
      <c r="A135" s="4" t="s">
        <v>774</v>
      </c>
      <c r="B135" s="4" t="s">
        <v>322</v>
      </c>
      <c r="C135" s="4" t="s">
        <v>81</v>
      </c>
      <c r="D135" s="4" t="s">
        <v>750</v>
      </c>
      <c r="E135" s="4" t="s">
        <v>479</v>
      </c>
      <c r="F135" s="4" t="s">
        <v>490</v>
      </c>
      <c r="G135" s="4" t="s">
        <v>472</v>
      </c>
      <c r="H135" s="4" t="s">
        <v>492</v>
      </c>
      <c r="I135" s="4">
        <v>10</v>
      </c>
      <c r="J135" s="4">
        <v>10</v>
      </c>
      <c r="K135" s="4">
        <v>2</v>
      </c>
      <c r="L135" s="4">
        <v>236</v>
      </c>
      <c r="M135" s="4">
        <v>59</v>
      </c>
      <c r="N135" s="4">
        <v>29.5</v>
      </c>
      <c r="O135" s="4">
        <v>184.33</v>
      </c>
      <c r="P135" s="4">
        <v>0</v>
      </c>
      <c r="Q135" s="4">
        <v>0</v>
      </c>
      <c r="R135" s="4">
        <v>28</v>
      </c>
      <c r="S135" s="4">
        <v>20</v>
      </c>
      <c r="T135" s="4">
        <v>0</v>
      </c>
      <c r="U135" s="4">
        <v>0</v>
      </c>
      <c r="V135" s="4" t="s">
        <v>493</v>
      </c>
      <c r="W135" s="4" t="s">
        <v>493</v>
      </c>
      <c r="X135" s="4" t="s">
        <v>493</v>
      </c>
      <c r="Y135" s="4" t="s">
        <v>493</v>
      </c>
      <c r="Z135" s="4">
        <v>0</v>
      </c>
      <c r="AA135" s="4">
        <v>0</v>
      </c>
      <c r="AB135" s="4">
        <v>2</v>
      </c>
      <c r="AC135" s="4">
        <v>0</v>
      </c>
      <c r="AD135" s="4" t="s">
        <v>20</v>
      </c>
      <c r="AE135" s="3" t="s">
        <v>475</v>
      </c>
      <c r="AF135" s="4" t="s">
        <v>269</v>
      </c>
      <c r="AG135" s="4" t="s">
        <v>476</v>
      </c>
      <c r="AH135" s="4">
        <v>21</v>
      </c>
    </row>
    <row r="136" spans="1:34" x14ac:dyDescent="0.3">
      <c r="A136" s="7" t="s">
        <v>775</v>
      </c>
      <c r="B136" s="7" t="s">
        <v>776</v>
      </c>
      <c r="C136" s="7" t="s">
        <v>81</v>
      </c>
      <c r="D136" s="7" t="s">
        <v>750</v>
      </c>
      <c r="E136" s="7" t="s">
        <v>483</v>
      </c>
      <c r="F136" s="7" t="s">
        <v>490</v>
      </c>
      <c r="G136" s="7" t="s">
        <v>491</v>
      </c>
      <c r="H136" s="7" t="s">
        <v>492</v>
      </c>
      <c r="I136" s="7">
        <v>8</v>
      </c>
      <c r="J136" s="7">
        <v>6</v>
      </c>
      <c r="K136" s="7">
        <v>2</v>
      </c>
      <c r="L136" s="7">
        <v>139</v>
      </c>
      <c r="M136" s="7">
        <v>45</v>
      </c>
      <c r="N136" s="7">
        <v>34.75</v>
      </c>
      <c r="O136" s="7">
        <v>176.81</v>
      </c>
      <c r="P136" s="7">
        <v>0</v>
      </c>
      <c r="Q136" s="7">
        <v>0</v>
      </c>
      <c r="R136" s="7">
        <v>15</v>
      </c>
      <c r="S136" s="7">
        <v>7</v>
      </c>
      <c r="T136" s="7">
        <v>0</v>
      </c>
      <c r="U136" s="7">
        <v>0</v>
      </c>
      <c r="V136" s="7" t="s">
        <v>493</v>
      </c>
      <c r="W136" s="7" t="s">
        <v>493</v>
      </c>
      <c r="X136" s="7" t="s">
        <v>493</v>
      </c>
      <c r="Y136" s="7" t="s">
        <v>493</v>
      </c>
      <c r="Z136" s="7">
        <v>0</v>
      </c>
      <c r="AA136" s="7">
        <v>0</v>
      </c>
      <c r="AB136" s="7">
        <v>7</v>
      </c>
      <c r="AC136" s="7">
        <v>0</v>
      </c>
      <c r="AD136" s="7" t="s">
        <v>28</v>
      </c>
      <c r="AE136" s="3" t="s">
        <v>475</v>
      </c>
      <c r="AF136" s="7" t="s">
        <v>171</v>
      </c>
      <c r="AG136" s="7" t="s">
        <v>502</v>
      </c>
      <c r="AH136" s="7">
        <v>10</v>
      </c>
    </row>
    <row r="137" spans="1:34" x14ac:dyDescent="0.3">
      <c r="A137" s="4" t="s">
        <v>777</v>
      </c>
      <c r="B137" s="4" t="s">
        <v>778</v>
      </c>
      <c r="C137" s="4" t="s">
        <v>28</v>
      </c>
      <c r="D137" s="4" t="s">
        <v>779</v>
      </c>
      <c r="E137" s="4" t="s">
        <v>483</v>
      </c>
      <c r="F137" s="4" t="s">
        <v>505</v>
      </c>
      <c r="G137" s="4" t="s">
        <v>491</v>
      </c>
      <c r="H137" s="4" t="s">
        <v>492</v>
      </c>
      <c r="I137" s="4">
        <v>9</v>
      </c>
      <c r="J137" s="4">
        <v>7</v>
      </c>
      <c r="K137" s="4">
        <v>3</v>
      </c>
      <c r="L137" s="4">
        <v>114</v>
      </c>
      <c r="M137" s="4">
        <v>111</v>
      </c>
      <c r="N137" s="4">
        <v>28.5</v>
      </c>
      <c r="O137" s="4">
        <v>110.02</v>
      </c>
      <c r="P137" s="4">
        <v>0</v>
      </c>
      <c r="Q137" s="4">
        <v>0</v>
      </c>
      <c r="R137" s="4">
        <v>11</v>
      </c>
      <c r="S137" s="4">
        <v>10</v>
      </c>
      <c r="T137" s="4">
        <v>0</v>
      </c>
      <c r="U137" s="4">
        <v>0</v>
      </c>
      <c r="V137" s="4" t="s">
        <v>493</v>
      </c>
      <c r="W137" s="4" t="s">
        <v>493</v>
      </c>
      <c r="X137" s="4" t="s">
        <v>493</v>
      </c>
      <c r="Y137" s="4" t="s">
        <v>493</v>
      </c>
      <c r="Z137" s="4">
        <v>0</v>
      </c>
      <c r="AA137" s="4">
        <v>0</v>
      </c>
      <c r="AB137" s="4">
        <v>9</v>
      </c>
      <c r="AC137" s="4">
        <v>2</v>
      </c>
      <c r="AD137" s="4" t="s">
        <v>20</v>
      </c>
      <c r="AE137" s="3" t="s">
        <v>475</v>
      </c>
      <c r="AF137" s="4" t="s">
        <v>372</v>
      </c>
      <c r="AG137" s="4" t="s">
        <v>476</v>
      </c>
      <c r="AH137" s="4">
        <v>1.5</v>
      </c>
    </row>
    <row r="138" spans="1:34" x14ac:dyDescent="0.3">
      <c r="A138" s="7" t="s">
        <v>780</v>
      </c>
      <c r="B138" s="7" t="s">
        <v>77</v>
      </c>
      <c r="C138" s="7" t="s">
        <v>28</v>
      </c>
      <c r="D138" s="7" t="s">
        <v>779</v>
      </c>
      <c r="E138" s="7" t="s">
        <v>543</v>
      </c>
      <c r="F138" s="7" t="s">
        <v>471</v>
      </c>
      <c r="G138" s="7" t="s">
        <v>472</v>
      </c>
      <c r="H138" s="7" t="s">
        <v>556</v>
      </c>
      <c r="I138" s="7">
        <v>11</v>
      </c>
      <c r="J138" s="7">
        <v>11</v>
      </c>
      <c r="K138" s="7">
        <v>0</v>
      </c>
      <c r="L138" s="7">
        <v>180</v>
      </c>
      <c r="M138" s="7">
        <v>24</v>
      </c>
      <c r="N138" s="7">
        <v>16.36</v>
      </c>
      <c r="O138" s="7">
        <v>109.47</v>
      </c>
      <c r="P138" s="7">
        <v>0</v>
      </c>
      <c r="Q138" s="7">
        <v>0</v>
      </c>
      <c r="R138" s="7">
        <v>15</v>
      </c>
      <c r="S138" s="7">
        <v>9</v>
      </c>
      <c r="T138" s="7">
        <v>0</v>
      </c>
      <c r="U138" s="7">
        <v>15</v>
      </c>
      <c r="V138" s="7">
        <v>27.44</v>
      </c>
      <c r="W138" s="7">
        <v>8.08</v>
      </c>
      <c r="X138" s="7">
        <v>11.52</v>
      </c>
      <c r="Y138" s="7" t="s">
        <v>781</v>
      </c>
      <c r="Z138" s="7">
        <v>0</v>
      </c>
      <c r="AA138" s="7">
        <v>31.3</v>
      </c>
      <c r="AB138" s="7">
        <v>5</v>
      </c>
      <c r="AC138" s="7">
        <v>0</v>
      </c>
      <c r="AD138" s="7" t="s">
        <v>55</v>
      </c>
      <c r="AE138" s="3" t="s">
        <v>475</v>
      </c>
      <c r="AF138" s="7" t="s">
        <v>52</v>
      </c>
      <c r="AG138" s="7" t="s">
        <v>476</v>
      </c>
      <c r="AH138" s="7">
        <v>3</v>
      </c>
    </row>
    <row r="139" spans="1:34" x14ac:dyDescent="0.3">
      <c r="A139" s="4" t="s">
        <v>782</v>
      </c>
      <c r="B139" s="4" t="s">
        <v>783</v>
      </c>
      <c r="C139" s="4" t="s">
        <v>28</v>
      </c>
      <c r="D139" s="4" t="s">
        <v>779</v>
      </c>
      <c r="E139" s="4" t="s">
        <v>483</v>
      </c>
      <c r="F139" s="4" t="s">
        <v>490</v>
      </c>
      <c r="G139" s="4" t="s">
        <v>491</v>
      </c>
      <c r="H139" s="4" t="s">
        <v>492</v>
      </c>
      <c r="I139" s="4">
        <v>11</v>
      </c>
      <c r="J139" s="4">
        <v>10</v>
      </c>
      <c r="K139" s="4">
        <v>1</v>
      </c>
      <c r="L139" s="4">
        <v>382</v>
      </c>
      <c r="M139" s="4">
        <v>33</v>
      </c>
      <c r="N139" s="4">
        <v>42.44</v>
      </c>
      <c r="O139" s="4">
        <v>176.49</v>
      </c>
      <c r="P139" s="4">
        <v>0</v>
      </c>
      <c r="Q139" s="4">
        <v>0</v>
      </c>
      <c r="R139" s="4">
        <v>47</v>
      </c>
      <c r="S139" s="4">
        <v>24</v>
      </c>
      <c r="T139" s="4">
        <v>0</v>
      </c>
      <c r="U139" s="4">
        <v>0</v>
      </c>
      <c r="V139" s="4" t="s">
        <v>493</v>
      </c>
      <c r="W139" s="4" t="s">
        <v>493</v>
      </c>
      <c r="X139" s="4" t="s">
        <v>493</v>
      </c>
      <c r="Y139" s="4" t="s">
        <v>493</v>
      </c>
      <c r="Z139" s="4">
        <v>0</v>
      </c>
      <c r="AA139" s="4">
        <v>0</v>
      </c>
      <c r="AB139" s="4">
        <v>7</v>
      </c>
      <c r="AC139" s="4">
        <v>0</v>
      </c>
      <c r="AD139" s="4" t="s">
        <v>142</v>
      </c>
      <c r="AE139" s="8" t="s">
        <v>486</v>
      </c>
      <c r="AF139" s="4" t="s">
        <v>253</v>
      </c>
      <c r="AG139" s="4" t="s">
        <v>502</v>
      </c>
      <c r="AH139" s="4">
        <v>0.5</v>
      </c>
    </row>
    <row r="140" spans="1:34" x14ac:dyDescent="0.3">
      <c r="A140" s="7" t="s">
        <v>784</v>
      </c>
      <c r="B140" s="7" t="s">
        <v>785</v>
      </c>
      <c r="C140" s="7" t="s">
        <v>28</v>
      </c>
      <c r="D140" s="7" t="s">
        <v>779</v>
      </c>
      <c r="E140" s="7" t="s">
        <v>597</v>
      </c>
      <c r="F140" s="7" t="s">
        <v>490</v>
      </c>
      <c r="G140" s="7" t="s">
        <v>491</v>
      </c>
      <c r="H140" s="7" t="s">
        <v>492</v>
      </c>
      <c r="I140" s="7">
        <v>10</v>
      </c>
      <c r="J140" s="7">
        <v>8</v>
      </c>
      <c r="K140" s="7">
        <v>0</v>
      </c>
      <c r="L140" s="7">
        <v>363</v>
      </c>
      <c r="M140" s="7">
        <v>96</v>
      </c>
      <c r="N140" s="7">
        <v>45.38</v>
      </c>
      <c r="O140" s="7">
        <v>124.91</v>
      </c>
      <c r="P140" s="7">
        <v>0</v>
      </c>
      <c r="Q140" s="7">
        <v>0</v>
      </c>
      <c r="R140" s="7">
        <v>40</v>
      </c>
      <c r="S140" s="7">
        <v>21</v>
      </c>
      <c r="T140" s="7">
        <v>0</v>
      </c>
      <c r="U140" s="7">
        <v>0</v>
      </c>
      <c r="V140" s="7" t="s">
        <v>493</v>
      </c>
      <c r="W140" s="7" t="s">
        <v>493</v>
      </c>
      <c r="X140" s="7" t="s">
        <v>493</v>
      </c>
      <c r="Y140" s="7" t="s">
        <v>493</v>
      </c>
      <c r="Z140" s="7">
        <v>0</v>
      </c>
      <c r="AA140" s="7">
        <v>0</v>
      </c>
      <c r="AB140" s="7">
        <v>9</v>
      </c>
      <c r="AC140" s="7">
        <v>0</v>
      </c>
      <c r="AD140" s="7" t="s">
        <v>81</v>
      </c>
      <c r="AE140" s="3" t="s">
        <v>475</v>
      </c>
      <c r="AF140" s="7" t="s">
        <v>416</v>
      </c>
      <c r="AG140" s="7" t="s">
        <v>476</v>
      </c>
      <c r="AH140" s="7">
        <v>7.5</v>
      </c>
    </row>
    <row r="141" spans="1:34" x14ac:dyDescent="0.3">
      <c r="A141" s="4" t="s">
        <v>786</v>
      </c>
      <c r="B141" s="4" t="s">
        <v>787</v>
      </c>
      <c r="C141" s="4" t="s">
        <v>28</v>
      </c>
      <c r="D141" s="4" t="s">
        <v>779</v>
      </c>
      <c r="E141" s="4" t="s">
        <v>483</v>
      </c>
      <c r="F141" s="4" t="s">
        <v>490</v>
      </c>
      <c r="G141" s="4" t="s">
        <v>491</v>
      </c>
      <c r="H141" s="4" t="s">
        <v>492</v>
      </c>
      <c r="I141" s="4">
        <v>12</v>
      </c>
      <c r="J141" s="4">
        <v>10</v>
      </c>
      <c r="K141" s="4">
        <v>1</v>
      </c>
      <c r="L141" s="4">
        <v>329</v>
      </c>
      <c r="M141" s="4">
        <v>56</v>
      </c>
      <c r="N141" s="4">
        <v>36.56</v>
      </c>
      <c r="O141" s="4">
        <v>170.2</v>
      </c>
      <c r="P141" s="4">
        <v>0</v>
      </c>
      <c r="Q141" s="4">
        <v>0</v>
      </c>
      <c r="R141" s="4">
        <v>27</v>
      </c>
      <c r="S141" s="4">
        <v>20</v>
      </c>
      <c r="T141" s="4">
        <v>0</v>
      </c>
      <c r="U141" s="4">
        <v>0</v>
      </c>
      <c r="V141" s="4" t="s">
        <v>493</v>
      </c>
      <c r="W141" s="4" t="s">
        <v>493</v>
      </c>
      <c r="X141" s="4" t="s">
        <v>493</v>
      </c>
      <c r="Y141" s="4" t="s">
        <v>493</v>
      </c>
      <c r="Z141" s="4">
        <v>0</v>
      </c>
      <c r="AA141" s="4">
        <v>0</v>
      </c>
      <c r="AB141" s="4">
        <v>6</v>
      </c>
      <c r="AC141" s="4">
        <v>0</v>
      </c>
      <c r="AD141" s="4" t="s">
        <v>20</v>
      </c>
      <c r="AE141" s="8" t="s">
        <v>486</v>
      </c>
      <c r="AF141" s="4" t="s">
        <v>427</v>
      </c>
      <c r="AG141" s="4" t="s">
        <v>476</v>
      </c>
      <c r="AH141" s="4">
        <v>4</v>
      </c>
    </row>
    <row r="142" spans="1:34" x14ac:dyDescent="0.3">
      <c r="A142" s="7" t="s">
        <v>788</v>
      </c>
      <c r="B142" s="7" t="s">
        <v>362</v>
      </c>
      <c r="C142" s="7" t="s">
        <v>28</v>
      </c>
      <c r="D142" s="7" t="s">
        <v>779</v>
      </c>
      <c r="E142" s="7" t="s">
        <v>483</v>
      </c>
      <c r="F142" s="7" t="s">
        <v>490</v>
      </c>
      <c r="G142" s="7" t="s">
        <v>472</v>
      </c>
      <c r="H142" s="7" t="s">
        <v>492</v>
      </c>
      <c r="I142" s="7">
        <v>13</v>
      </c>
      <c r="J142" s="7">
        <v>11</v>
      </c>
      <c r="K142" s="7">
        <v>2</v>
      </c>
      <c r="L142" s="7">
        <v>313</v>
      </c>
      <c r="M142" s="7">
        <v>35</v>
      </c>
      <c r="N142" s="7">
        <v>34.78</v>
      </c>
      <c r="O142" s="7">
        <v>153.85</v>
      </c>
      <c r="P142" s="7">
        <v>0</v>
      </c>
      <c r="Q142" s="7">
        <v>0</v>
      </c>
      <c r="R142" s="7">
        <v>31</v>
      </c>
      <c r="S142" s="7">
        <v>13</v>
      </c>
      <c r="T142" s="7">
        <v>0</v>
      </c>
      <c r="U142" s="7">
        <v>0</v>
      </c>
      <c r="V142" s="7" t="s">
        <v>493</v>
      </c>
      <c r="W142" s="7" t="s">
        <v>493</v>
      </c>
      <c r="X142" s="7" t="s">
        <v>493</v>
      </c>
      <c r="Y142" s="7" t="s">
        <v>493</v>
      </c>
      <c r="Z142" s="7">
        <v>0</v>
      </c>
      <c r="AA142" s="7">
        <v>0</v>
      </c>
      <c r="AB142" s="7">
        <v>9</v>
      </c>
      <c r="AC142" s="7">
        <v>0</v>
      </c>
      <c r="AD142" s="7" t="s">
        <v>19</v>
      </c>
      <c r="AE142" s="8" t="s">
        <v>486</v>
      </c>
      <c r="AF142" s="7" t="s">
        <v>26</v>
      </c>
      <c r="AG142" s="7" t="s">
        <v>502</v>
      </c>
      <c r="AH142" s="7">
        <v>0.5</v>
      </c>
    </row>
    <row r="143" spans="1:34" x14ac:dyDescent="0.3">
      <c r="A143" s="4" t="s">
        <v>789</v>
      </c>
      <c r="B143" s="4" t="s">
        <v>102</v>
      </c>
      <c r="C143" s="4" t="s">
        <v>28</v>
      </c>
      <c r="D143" s="4" t="s">
        <v>779</v>
      </c>
      <c r="E143" s="4" t="s">
        <v>489</v>
      </c>
      <c r="F143" s="4" t="s">
        <v>484</v>
      </c>
      <c r="G143" s="4" t="s">
        <v>472</v>
      </c>
      <c r="H143" s="4" t="s">
        <v>556</v>
      </c>
      <c r="I143" s="4">
        <v>14</v>
      </c>
      <c r="J143" s="4">
        <v>13</v>
      </c>
      <c r="K143" s="4">
        <v>3</v>
      </c>
      <c r="L143" s="4">
        <v>420</v>
      </c>
      <c r="M143" s="4">
        <v>103</v>
      </c>
      <c r="N143" s="4">
        <v>42</v>
      </c>
      <c r="O143" s="4">
        <v>156.47999999999999</v>
      </c>
      <c r="P143" s="4">
        <v>0</v>
      </c>
      <c r="Q143" s="4">
        <v>0</v>
      </c>
      <c r="R143" s="4">
        <v>33</v>
      </c>
      <c r="S143" s="4">
        <v>18</v>
      </c>
      <c r="T143" s="4">
        <v>0</v>
      </c>
      <c r="U143" s="4">
        <v>18</v>
      </c>
      <c r="V143" s="4">
        <v>21.83</v>
      </c>
      <c r="W143" s="4">
        <v>6.68</v>
      </c>
      <c r="X143" s="4">
        <v>17.52</v>
      </c>
      <c r="Y143" s="4" t="s">
        <v>790</v>
      </c>
      <c r="Z143" s="4">
        <v>0</v>
      </c>
      <c r="AA143" s="4">
        <v>48.5</v>
      </c>
      <c r="AB143" s="4">
        <v>6</v>
      </c>
      <c r="AC143" s="4">
        <v>0</v>
      </c>
      <c r="AD143" s="4" t="s">
        <v>37</v>
      </c>
      <c r="AE143" s="3" t="s">
        <v>475</v>
      </c>
      <c r="AF143" s="4" t="s">
        <v>357</v>
      </c>
      <c r="AG143" s="4" t="s">
        <v>476</v>
      </c>
      <c r="AH143" s="4">
        <v>0.4</v>
      </c>
    </row>
    <row r="144" spans="1:34" x14ac:dyDescent="0.3">
      <c r="A144" s="7" t="s">
        <v>791</v>
      </c>
      <c r="B144" s="7" t="s">
        <v>792</v>
      </c>
      <c r="C144" s="7" t="s">
        <v>28</v>
      </c>
      <c r="D144" s="7" t="s">
        <v>779</v>
      </c>
      <c r="E144" s="7" t="s">
        <v>483</v>
      </c>
      <c r="F144" s="7" t="s">
        <v>490</v>
      </c>
      <c r="G144" s="7" t="s">
        <v>491</v>
      </c>
      <c r="H144" s="7" t="s">
        <v>492</v>
      </c>
      <c r="I144" s="7">
        <v>12</v>
      </c>
      <c r="J144" s="7">
        <v>11</v>
      </c>
      <c r="K144" s="7">
        <v>1</v>
      </c>
      <c r="L144" s="7">
        <v>461</v>
      </c>
      <c r="M144" s="7">
        <v>77</v>
      </c>
      <c r="N144" s="7">
        <v>46.1</v>
      </c>
      <c r="O144" s="7">
        <v>115.23</v>
      </c>
      <c r="P144" s="7">
        <v>0</v>
      </c>
      <c r="Q144" s="7">
        <v>0</v>
      </c>
      <c r="R144" s="7">
        <v>40</v>
      </c>
      <c r="S144" s="7">
        <v>35</v>
      </c>
      <c r="T144" s="7">
        <v>0</v>
      </c>
      <c r="U144" s="7">
        <v>0</v>
      </c>
      <c r="V144" s="7" t="s">
        <v>493</v>
      </c>
      <c r="W144" s="7" t="s">
        <v>493</v>
      </c>
      <c r="X144" s="7" t="s">
        <v>493</v>
      </c>
      <c r="Y144" s="7" t="s">
        <v>493</v>
      </c>
      <c r="Z144" s="7">
        <v>0</v>
      </c>
      <c r="AA144" s="7">
        <v>0</v>
      </c>
      <c r="AB144" s="7">
        <v>2</v>
      </c>
      <c r="AC144" s="7">
        <v>0</v>
      </c>
      <c r="AD144" s="7" t="s">
        <v>81</v>
      </c>
      <c r="AE144" s="8" t="s">
        <v>486</v>
      </c>
      <c r="AF144" s="7" t="s">
        <v>171</v>
      </c>
      <c r="AG144" s="7" t="s">
        <v>476</v>
      </c>
      <c r="AH144" s="7">
        <v>18</v>
      </c>
    </row>
    <row r="145" spans="1:34" x14ac:dyDescent="0.3">
      <c r="A145" s="4" t="s">
        <v>793</v>
      </c>
      <c r="B145" s="4" t="s">
        <v>228</v>
      </c>
      <c r="C145" s="4" t="s">
        <v>28</v>
      </c>
      <c r="D145" s="4" t="s">
        <v>779</v>
      </c>
      <c r="E145" s="4" t="s">
        <v>543</v>
      </c>
      <c r="F145" s="4" t="s">
        <v>490</v>
      </c>
      <c r="G145" s="4" t="s">
        <v>472</v>
      </c>
      <c r="H145" s="4" t="s">
        <v>492</v>
      </c>
      <c r="I145" s="4">
        <v>14</v>
      </c>
      <c r="J145" s="4">
        <v>12</v>
      </c>
      <c r="K145" s="4">
        <v>1</v>
      </c>
      <c r="L145" s="4">
        <v>580</v>
      </c>
      <c r="M145" s="4">
        <v>64</v>
      </c>
      <c r="N145" s="4">
        <v>52.73</v>
      </c>
      <c r="O145" s="4">
        <v>127.09</v>
      </c>
      <c r="P145" s="4">
        <v>0</v>
      </c>
      <c r="Q145" s="4">
        <v>0</v>
      </c>
      <c r="R145" s="4">
        <v>46</v>
      </c>
      <c r="S145" s="4">
        <v>33</v>
      </c>
      <c r="T145" s="4">
        <v>0</v>
      </c>
      <c r="U145" s="4">
        <v>0</v>
      </c>
      <c r="V145" s="4" t="s">
        <v>493</v>
      </c>
      <c r="W145" s="4" t="s">
        <v>493</v>
      </c>
      <c r="X145" s="4" t="s">
        <v>493</v>
      </c>
      <c r="Y145" s="4" t="s">
        <v>493</v>
      </c>
      <c r="Z145" s="4">
        <v>0</v>
      </c>
      <c r="AA145" s="4">
        <v>0</v>
      </c>
      <c r="AB145" s="4">
        <v>4</v>
      </c>
      <c r="AC145" s="4">
        <v>0</v>
      </c>
      <c r="AD145" s="4" t="s">
        <v>20</v>
      </c>
      <c r="AE145" s="8" t="s">
        <v>486</v>
      </c>
      <c r="AF145" s="4" t="s">
        <v>159</v>
      </c>
      <c r="AG145" s="4" t="s">
        <v>476</v>
      </c>
      <c r="AH145" s="4">
        <v>4</v>
      </c>
    </row>
    <row r="146" spans="1:34" x14ac:dyDescent="0.3">
      <c r="A146" s="7" t="s">
        <v>794</v>
      </c>
      <c r="B146" s="7" t="s">
        <v>59</v>
      </c>
      <c r="C146" s="7" t="s">
        <v>28</v>
      </c>
      <c r="D146" s="7" t="s">
        <v>779</v>
      </c>
      <c r="E146" s="7" t="s">
        <v>483</v>
      </c>
      <c r="F146" s="7" t="s">
        <v>490</v>
      </c>
      <c r="G146" s="7" t="s">
        <v>472</v>
      </c>
      <c r="H146" s="7" t="s">
        <v>492</v>
      </c>
      <c r="I146" s="7">
        <v>10</v>
      </c>
      <c r="J146" s="7">
        <v>8</v>
      </c>
      <c r="K146" s="7">
        <v>0</v>
      </c>
      <c r="L146" s="7">
        <v>394</v>
      </c>
      <c r="M146" s="7">
        <v>101</v>
      </c>
      <c r="N146" s="7">
        <v>49.25</v>
      </c>
      <c r="O146" s="7">
        <v>152.62</v>
      </c>
      <c r="P146" s="7">
        <v>0</v>
      </c>
      <c r="Q146" s="7">
        <v>0</v>
      </c>
      <c r="R146" s="7">
        <v>35</v>
      </c>
      <c r="S146" s="7">
        <v>32</v>
      </c>
      <c r="T146" s="7">
        <v>0</v>
      </c>
      <c r="U146" s="7">
        <v>0</v>
      </c>
      <c r="V146" s="7" t="s">
        <v>493</v>
      </c>
      <c r="W146" s="7" t="s">
        <v>493</v>
      </c>
      <c r="X146" s="7" t="s">
        <v>493</v>
      </c>
      <c r="Y146" s="7" t="s">
        <v>493</v>
      </c>
      <c r="Z146" s="7">
        <v>0</v>
      </c>
      <c r="AA146" s="7">
        <v>0</v>
      </c>
      <c r="AB146" s="7">
        <v>5</v>
      </c>
      <c r="AC146" s="7">
        <v>0</v>
      </c>
      <c r="AD146" s="7" t="s">
        <v>20</v>
      </c>
      <c r="AE146" s="3" t="s">
        <v>475</v>
      </c>
      <c r="AF146" s="7" t="s">
        <v>372</v>
      </c>
      <c r="AG146" s="7" t="s">
        <v>502</v>
      </c>
      <c r="AH146" s="7">
        <v>0.2</v>
      </c>
    </row>
    <row r="147" spans="1:34" x14ac:dyDescent="0.3">
      <c r="A147" s="4" t="s">
        <v>795</v>
      </c>
      <c r="B147" s="4" t="s">
        <v>421</v>
      </c>
      <c r="C147" s="4" t="s">
        <v>28</v>
      </c>
      <c r="D147" s="4" t="s">
        <v>779</v>
      </c>
      <c r="E147" s="4" t="s">
        <v>536</v>
      </c>
      <c r="F147" s="4" t="s">
        <v>471</v>
      </c>
      <c r="G147" s="4" t="s">
        <v>472</v>
      </c>
      <c r="H147" s="4" t="s">
        <v>480</v>
      </c>
      <c r="I147" s="4">
        <v>9</v>
      </c>
      <c r="J147" s="4">
        <v>9</v>
      </c>
      <c r="K147" s="4">
        <v>3</v>
      </c>
      <c r="L147" s="4">
        <v>169</v>
      </c>
      <c r="M147" s="4">
        <v>34</v>
      </c>
      <c r="N147" s="4">
        <v>28.17</v>
      </c>
      <c r="O147" s="4">
        <v>99.05</v>
      </c>
      <c r="P147" s="4">
        <v>0</v>
      </c>
      <c r="Q147" s="4">
        <v>0</v>
      </c>
      <c r="R147" s="4">
        <v>14</v>
      </c>
      <c r="S147" s="4">
        <v>8</v>
      </c>
      <c r="T147" s="4">
        <v>0</v>
      </c>
      <c r="U147" s="4">
        <v>3</v>
      </c>
      <c r="V147" s="4">
        <v>17.690000000000001</v>
      </c>
      <c r="W147" s="4">
        <v>7.72</v>
      </c>
      <c r="X147" s="4">
        <v>11.92</v>
      </c>
      <c r="Y147" s="4" t="s">
        <v>796</v>
      </c>
      <c r="Z147" s="4">
        <v>0</v>
      </c>
      <c r="AA147" s="4">
        <v>29.1</v>
      </c>
      <c r="AB147" s="4">
        <v>5</v>
      </c>
      <c r="AC147" s="4">
        <v>0</v>
      </c>
      <c r="AD147" s="4" t="s">
        <v>47</v>
      </c>
      <c r="AE147" s="3" t="s">
        <v>475</v>
      </c>
      <c r="AF147" s="4" t="s">
        <v>129</v>
      </c>
      <c r="AG147" s="4" t="s">
        <v>476</v>
      </c>
      <c r="AH147" s="4">
        <v>2</v>
      </c>
    </row>
    <row r="148" spans="1:34" x14ac:dyDescent="0.3">
      <c r="A148" s="7" t="s">
        <v>797</v>
      </c>
      <c r="B148" s="7" t="s">
        <v>798</v>
      </c>
      <c r="C148" s="7" t="s">
        <v>28</v>
      </c>
      <c r="D148" s="7" t="s">
        <v>779</v>
      </c>
      <c r="E148" s="7" t="s">
        <v>470</v>
      </c>
      <c r="F148" s="7" t="s">
        <v>471</v>
      </c>
      <c r="G148" s="7" t="s">
        <v>472</v>
      </c>
      <c r="H148" s="7" t="s">
        <v>556</v>
      </c>
      <c r="I148" s="7">
        <v>10</v>
      </c>
      <c r="J148" s="7">
        <v>8</v>
      </c>
      <c r="K148" s="7">
        <v>3</v>
      </c>
      <c r="L148" s="7">
        <v>220</v>
      </c>
      <c r="M148" s="7">
        <v>27</v>
      </c>
      <c r="N148" s="7">
        <v>44</v>
      </c>
      <c r="O148" s="7">
        <v>122.89</v>
      </c>
      <c r="P148" s="7">
        <v>0</v>
      </c>
      <c r="Q148" s="7">
        <v>0</v>
      </c>
      <c r="R148" s="7">
        <v>18</v>
      </c>
      <c r="S148" s="7">
        <v>11</v>
      </c>
      <c r="T148" s="7">
        <v>2</v>
      </c>
      <c r="U148" s="7">
        <v>11</v>
      </c>
      <c r="V148" s="7">
        <v>24.8</v>
      </c>
      <c r="W148" s="7">
        <v>10.119999999999999</v>
      </c>
      <c r="X148" s="7">
        <v>11.64</v>
      </c>
      <c r="Y148" s="7" t="s">
        <v>799</v>
      </c>
      <c r="Z148" s="7">
        <v>0</v>
      </c>
      <c r="AA148" s="7">
        <v>37.9</v>
      </c>
      <c r="AB148" s="7">
        <v>5</v>
      </c>
      <c r="AC148" s="7">
        <v>0</v>
      </c>
      <c r="AD148" s="7" t="s">
        <v>37</v>
      </c>
      <c r="AE148" s="3" t="s">
        <v>475</v>
      </c>
      <c r="AF148" s="7" t="s">
        <v>357</v>
      </c>
      <c r="AG148" s="7" t="s">
        <v>476</v>
      </c>
      <c r="AH148" s="7">
        <v>0.2</v>
      </c>
    </row>
    <row r="149" spans="1:34" x14ac:dyDescent="0.3">
      <c r="A149" s="4" t="s">
        <v>800</v>
      </c>
      <c r="B149" s="4" t="s">
        <v>801</v>
      </c>
      <c r="C149" s="4" t="s">
        <v>28</v>
      </c>
      <c r="D149" s="4" t="s">
        <v>779</v>
      </c>
      <c r="E149" s="4" t="s">
        <v>483</v>
      </c>
      <c r="F149" s="4" t="s">
        <v>471</v>
      </c>
      <c r="G149" s="4" t="s">
        <v>491</v>
      </c>
      <c r="H149" s="4" t="s">
        <v>480</v>
      </c>
      <c r="I149" s="4">
        <v>9</v>
      </c>
      <c r="J149" s="4">
        <v>8</v>
      </c>
      <c r="K149" s="4">
        <v>3</v>
      </c>
      <c r="L149" s="4">
        <v>107</v>
      </c>
      <c r="M149" s="4">
        <v>10</v>
      </c>
      <c r="N149" s="4">
        <v>21.4</v>
      </c>
      <c r="O149" s="4">
        <v>103.61</v>
      </c>
      <c r="P149" s="4">
        <v>0</v>
      </c>
      <c r="Q149" s="4">
        <v>0</v>
      </c>
      <c r="R149" s="4">
        <v>8</v>
      </c>
      <c r="S149" s="4">
        <v>5</v>
      </c>
      <c r="T149" s="4">
        <v>1</v>
      </c>
      <c r="U149" s="4">
        <v>12</v>
      </c>
      <c r="V149" s="4">
        <v>28.16</v>
      </c>
      <c r="W149" s="4">
        <v>10.37</v>
      </c>
      <c r="X149" s="4">
        <v>12.24</v>
      </c>
      <c r="Y149" s="4" t="s">
        <v>802</v>
      </c>
      <c r="Z149" s="4">
        <v>0</v>
      </c>
      <c r="AA149" s="4">
        <v>24.1</v>
      </c>
      <c r="AB149" s="4">
        <v>4</v>
      </c>
      <c r="AC149" s="4">
        <v>0</v>
      </c>
      <c r="AD149" s="4" t="s">
        <v>38</v>
      </c>
      <c r="AE149" s="8" t="s">
        <v>486</v>
      </c>
      <c r="AF149" s="4" t="s">
        <v>86</v>
      </c>
      <c r="AG149" s="4" t="s">
        <v>476</v>
      </c>
      <c r="AH149" s="4">
        <v>1.5</v>
      </c>
    </row>
    <row r="150" spans="1:34" x14ac:dyDescent="0.3">
      <c r="A150" s="7" t="s">
        <v>803</v>
      </c>
      <c r="B150" s="7" t="s">
        <v>804</v>
      </c>
      <c r="C150" s="7" t="s">
        <v>28</v>
      </c>
      <c r="D150" s="7" t="s">
        <v>779</v>
      </c>
      <c r="E150" s="7" t="s">
        <v>597</v>
      </c>
      <c r="F150" s="7" t="s">
        <v>471</v>
      </c>
      <c r="G150" s="7" t="s">
        <v>491</v>
      </c>
      <c r="H150" s="7" t="s">
        <v>556</v>
      </c>
      <c r="I150" s="7">
        <v>9</v>
      </c>
      <c r="J150" s="7">
        <v>7</v>
      </c>
      <c r="K150" s="7">
        <v>0</v>
      </c>
      <c r="L150" s="7">
        <v>123</v>
      </c>
      <c r="M150" s="7">
        <v>26</v>
      </c>
      <c r="N150" s="7">
        <v>17.57</v>
      </c>
      <c r="O150" s="7">
        <v>123.29</v>
      </c>
      <c r="P150" s="7">
        <v>0</v>
      </c>
      <c r="Q150" s="7">
        <v>0</v>
      </c>
      <c r="R150" s="7">
        <v>10</v>
      </c>
      <c r="S150" s="7">
        <v>6</v>
      </c>
      <c r="T150" s="7">
        <v>0</v>
      </c>
      <c r="U150" s="7">
        <v>13</v>
      </c>
      <c r="V150" s="7">
        <v>20.07</v>
      </c>
      <c r="W150" s="7">
        <v>8.4600000000000009</v>
      </c>
      <c r="X150" s="7">
        <v>12.35</v>
      </c>
      <c r="Y150" s="7" t="s">
        <v>710</v>
      </c>
      <c r="Z150" s="7">
        <v>0</v>
      </c>
      <c r="AA150" s="7">
        <v>25.6</v>
      </c>
      <c r="AB150" s="7">
        <v>7</v>
      </c>
      <c r="AC150" s="7">
        <v>0</v>
      </c>
      <c r="AD150" s="7" t="s">
        <v>20</v>
      </c>
      <c r="AE150" s="8" t="s">
        <v>486</v>
      </c>
      <c r="AF150" s="7" t="s">
        <v>159</v>
      </c>
      <c r="AG150" s="7" t="s">
        <v>476</v>
      </c>
      <c r="AH150" s="7">
        <v>21</v>
      </c>
    </row>
    <row r="151" spans="1:34" x14ac:dyDescent="0.3">
      <c r="A151" s="4" t="s">
        <v>805</v>
      </c>
      <c r="B151" s="4" t="s">
        <v>138</v>
      </c>
      <c r="C151" s="4" t="s">
        <v>28</v>
      </c>
      <c r="D151" s="4" t="s">
        <v>779</v>
      </c>
      <c r="E151" s="4" t="s">
        <v>483</v>
      </c>
      <c r="F151" s="4" t="s">
        <v>484</v>
      </c>
      <c r="G151" s="4" t="s">
        <v>491</v>
      </c>
      <c r="H151" s="4" t="s">
        <v>480</v>
      </c>
      <c r="I151" s="4">
        <v>9</v>
      </c>
      <c r="J151" s="4">
        <v>9</v>
      </c>
      <c r="K151" s="4">
        <v>2</v>
      </c>
      <c r="L151" s="4">
        <v>308</v>
      </c>
      <c r="M151" s="4">
        <v>97</v>
      </c>
      <c r="N151" s="4">
        <v>44</v>
      </c>
      <c r="O151" s="4">
        <v>180.53</v>
      </c>
      <c r="P151" s="4">
        <v>0</v>
      </c>
      <c r="Q151" s="4">
        <v>0</v>
      </c>
      <c r="R151" s="4">
        <v>38</v>
      </c>
      <c r="S151" s="4">
        <v>15</v>
      </c>
      <c r="T151" s="4">
        <v>0</v>
      </c>
      <c r="U151" s="4">
        <v>7</v>
      </c>
      <c r="V151" s="4">
        <v>14.92</v>
      </c>
      <c r="W151" s="4">
        <v>9.11</v>
      </c>
      <c r="X151" s="4">
        <v>12</v>
      </c>
      <c r="Y151" s="4" t="s">
        <v>806</v>
      </c>
      <c r="Z151" s="4">
        <v>0</v>
      </c>
      <c r="AA151" s="4">
        <v>25.4</v>
      </c>
      <c r="AB151" s="4">
        <v>3</v>
      </c>
      <c r="AC151" s="4">
        <v>0</v>
      </c>
      <c r="AD151" s="4" t="s">
        <v>55</v>
      </c>
      <c r="AE151" s="8" t="s">
        <v>486</v>
      </c>
      <c r="AF151" s="4" t="s">
        <v>397</v>
      </c>
      <c r="AG151" s="4" t="s">
        <v>502</v>
      </c>
      <c r="AH151" s="4">
        <v>7.5</v>
      </c>
    </row>
    <row r="152" spans="1:34" x14ac:dyDescent="0.3">
      <c r="A152" s="7" t="s">
        <v>807</v>
      </c>
      <c r="B152" s="7" t="s">
        <v>808</v>
      </c>
      <c r="C152" s="7" t="s">
        <v>142</v>
      </c>
      <c r="D152" s="7" t="s">
        <v>684</v>
      </c>
      <c r="E152" s="7" t="s">
        <v>483</v>
      </c>
      <c r="F152" s="7" t="s">
        <v>471</v>
      </c>
      <c r="G152" s="7" t="s">
        <v>472</v>
      </c>
      <c r="H152" s="7" t="s">
        <v>516</v>
      </c>
      <c r="I152" s="7">
        <v>11</v>
      </c>
      <c r="J152" s="7">
        <v>9</v>
      </c>
      <c r="K152" s="7">
        <v>1</v>
      </c>
      <c r="L152" s="7">
        <v>260</v>
      </c>
      <c r="M152" s="7">
        <v>5</v>
      </c>
      <c r="N152" s="7">
        <v>32.5</v>
      </c>
      <c r="O152" s="7">
        <v>116.16</v>
      </c>
      <c r="P152" s="7">
        <v>0</v>
      </c>
      <c r="Q152" s="7">
        <v>0</v>
      </c>
      <c r="R152" s="7">
        <v>21</v>
      </c>
      <c r="S152" s="7">
        <v>13</v>
      </c>
      <c r="T152" s="7">
        <v>2</v>
      </c>
      <c r="U152" s="7">
        <v>17</v>
      </c>
      <c r="V152" s="7">
        <v>23.84</v>
      </c>
      <c r="W152" s="7">
        <v>10.19</v>
      </c>
      <c r="X152" s="7">
        <v>19.34</v>
      </c>
      <c r="Y152" s="7" t="s">
        <v>517</v>
      </c>
      <c r="Z152" s="7">
        <v>0</v>
      </c>
      <c r="AA152" s="7">
        <v>35</v>
      </c>
      <c r="AB152" s="7">
        <v>9</v>
      </c>
      <c r="AC152" s="7">
        <v>0</v>
      </c>
      <c r="AD152" s="7" t="s">
        <v>28</v>
      </c>
      <c r="AE152" s="8" t="s">
        <v>486</v>
      </c>
      <c r="AF152" s="7" t="s">
        <v>72</v>
      </c>
      <c r="AG152" s="7" t="s">
        <v>476</v>
      </c>
      <c r="AH152" s="7">
        <v>0.2</v>
      </c>
    </row>
    <row r="153" spans="1:34" x14ac:dyDescent="0.3">
      <c r="A153" s="4" t="s">
        <v>809</v>
      </c>
      <c r="B153" s="4" t="s">
        <v>810</v>
      </c>
      <c r="C153" s="4" t="s">
        <v>55</v>
      </c>
      <c r="D153" s="4" t="s">
        <v>588</v>
      </c>
      <c r="E153" s="4" t="s">
        <v>483</v>
      </c>
      <c r="F153" s="4" t="s">
        <v>484</v>
      </c>
      <c r="G153" s="4" t="s">
        <v>491</v>
      </c>
      <c r="H153" s="4" t="s">
        <v>556</v>
      </c>
      <c r="I153" s="4">
        <v>14</v>
      </c>
      <c r="J153" s="4">
        <v>13</v>
      </c>
      <c r="K153" s="4">
        <v>2</v>
      </c>
      <c r="L153" s="4">
        <v>494</v>
      </c>
      <c r="M153" s="4">
        <v>37</v>
      </c>
      <c r="N153" s="4">
        <v>44.91</v>
      </c>
      <c r="O153" s="4">
        <v>164.49</v>
      </c>
      <c r="P153" s="4">
        <v>0</v>
      </c>
      <c r="Q153" s="4">
        <v>0</v>
      </c>
      <c r="R153" s="4">
        <v>67</v>
      </c>
      <c r="S153" s="4">
        <v>25</v>
      </c>
      <c r="T153" s="4">
        <v>0</v>
      </c>
      <c r="U153" s="4">
        <v>8</v>
      </c>
      <c r="V153" s="4">
        <v>24.43</v>
      </c>
      <c r="W153" s="4">
        <v>9.48</v>
      </c>
      <c r="X153" s="4">
        <v>16.11</v>
      </c>
      <c r="Y153" s="4" t="s">
        <v>599</v>
      </c>
      <c r="Z153" s="4">
        <v>0</v>
      </c>
      <c r="AA153" s="4">
        <v>49.1</v>
      </c>
      <c r="AB153" s="4">
        <v>11</v>
      </c>
      <c r="AC153" s="4">
        <v>0</v>
      </c>
      <c r="AD153" s="4" t="s">
        <v>38</v>
      </c>
      <c r="AE153" s="8" t="s">
        <v>486</v>
      </c>
      <c r="AF153" s="4" t="s">
        <v>381</v>
      </c>
      <c r="AG153" s="4" t="s">
        <v>502</v>
      </c>
      <c r="AH153" s="4">
        <v>0.4</v>
      </c>
    </row>
    <row r="154" spans="1:34" x14ac:dyDescent="0.3">
      <c r="A154" s="7" t="s">
        <v>811</v>
      </c>
      <c r="B154" s="7" t="s">
        <v>812</v>
      </c>
      <c r="C154" s="7" t="s">
        <v>28</v>
      </c>
      <c r="D154" s="7" t="s">
        <v>779</v>
      </c>
      <c r="E154" s="7" t="s">
        <v>543</v>
      </c>
      <c r="F154" s="7" t="s">
        <v>471</v>
      </c>
      <c r="G154" s="7" t="s">
        <v>472</v>
      </c>
      <c r="H154" s="7" t="s">
        <v>514</v>
      </c>
      <c r="I154" s="7">
        <v>14</v>
      </c>
      <c r="J154" s="7">
        <v>13</v>
      </c>
      <c r="K154" s="7">
        <v>1</v>
      </c>
      <c r="L154" s="7">
        <v>133</v>
      </c>
      <c r="M154" s="7">
        <v>10</v>
      </c>
      <c r="N154" s="7">
        <v>11.08</v>
      </c>
      <c r="O154" s="7">
        <v>122.19</v>
      </c>
      <c r="P154" s="7">
        <v>0</v>
      </c>
      <c r="Q154" s="7">
        <v>0</v>
      </c>
      <c r="R154" s="7">
        <v>11</v>
      </c>
      <c r="S154" s="7">
        <v>6</v>
      </c>
      <c r="T154" s="7">
        <v>1</v>
      </c>
      <c r="U154" s="7">
        <v>15</v>
      </c>
      <c r="V154" s="7">
        <v>18.690000000000001</v>
      </c>
      <c r="W154" s="7">
        <v>9.6199999999999992</v>
      </c>
      <c r="X154" s="7">
        <v>14.4</v>
      </c>
      <c r="Y154" s="7" t="s">
        <v>623</v>
      </c>
      <c r="Z154" s="7">
        <v>0</v>
      </c>
      <c r="AA154" s="7">
        <v>36.200000000000003</v>
      </c>
      <c r="AB154" s="7">
        <v>6</v>
      </c>
      <c r="AC154" s="7">
        <v>0</v>
      </c>
      <c r="AD154" s="7" t="s">
        <v>20</v>
      </c>
      <c r="AE154" s="8" t="s">
        <v>486</v>
      </c>
      <c r="AF154" s="7" t="s">
        <v>115</v>
      </c>
      <c r="AG154" s="7" t="s">
        <v>476</v>
      </c>
      <c r="AH154" s="7">
        <v>18</v>
      </c>
    </row>
    <row r="155" spans="1:34" x14ac:dyDescent="0.3">
      <c r="A155" s="4" t="s">
        <v>813</v>
      </c>
      <c r="B155" s="4" t="s">
        <v>814</v>
      </c>
      <c r="C155" s="4" t="s">
        <v>38</v>
      </c>
      <c r="D155" s="4" t="s">
        <v>654</v>
      </c>
      <c r="E155" s="4" t="s">
        <v>470</v>
      </c>
      <c r="F155" s="4" t="s">
        <v>471</v>
      </c>
      <c r="G155" s="4" t="s">
        <v>472</v>
      </c>
      <c r="H155" s="4" t="s">
        <v>473</v>
      </c>
      <c r="I155" s="4">
        <v>14</v>
      </c>
      <c r="J155" s="4">
        <v>14</v>
      </c>
      <c r="K155" s="4">
        <v>1</v>
      </c>
      <c r="L155" s="4">
        <v>230</v>
      </c>
      <c r="M155" s="4">
        <v>15</v>
      </c>
      <c r="N155" s="4">
        <v>17.690000000000001</v>
      </c>
      <c r="O155" s="4">
        <v>104.85</v>
      </c>
      <c r="P155" s="4">
        <v>0</v>
      </c>
      <c r="Q155" s="4">
        <v>0</v>
      </c>
      <c r="R155" s="4">
        <v>19</v>
      </c>
      <c r="S155" s="4">
        <v>11</v>
      </c>
      <c r="T155" s="4">
        <v>3</v>
      </c>
      <c r="U155" s="4">
        <v>16</v>
      </c>
      <c r="V155" s="4">
        <v>29.63</v>
      </c>
      <c r="W155" s="4">
        <v>8.8800000000000008</v>
      </c>
      <c r="X155" s="4">
        <v>17.78</v>
      </c>
      <c r="Y155" s="4" t="s">
        <v>474</v>
      </c>
      <c r="Z155" s="4">
        <v>0</v>
      </c>
      <c r="AA155" s="4">
        <v>40</v>
      </c>
      <c r="AB155" s="4">
        <v>12</v>
      </c>
      <c r="AC155" s="4">
        <v>0</v>
      </c>
      <c r="AD155" s="4" t="s">
        <v>46</v>
      </c>
      <c r="AE155" s="3" t="s">
        <v>475</v>
      </c>
      <c r="AF155" s="4" t="s">
        <v>60</v>
      </c>
      <c r="AG155" s="4" t="s">
        <v>476</v>
      </c>
      <c r="AH155" s="4">
        <v>1.5</v>
      </c>
    </row>
    <row r="156" spans="1:34" x14ac:dyDescent="0.3">
      <c r="A156" s="7" t="s">
        <v>815</v>
      </c>
      <c r="B156" s="7" t="s">
        <v>816</v>
      </c>
      <c r="C156" s="7" t="s">
        <v>46</v>
      </c>
      <c r="D156" s="7" t="s">
        <v>622</v>
      </c>
      <c r="E156" s="7" t="s">
        <v>543</v>
      </c>
      <c r="F156" s="7" t="s">
        <v>471</v>
      </c>
      <c r="G156" s="7" t="s">
        <v>472</v>
      </c>
      <c r="H156" s="7" t="s">
        <v>500</v>
      </c>
      <c r="I156" s="7">
        <v>10</v>
      </c>
      <c r="J156" s="7">
        <v>9</v>
      </c>
      <c r="K156" s="7">
        <v>2</v>
      </c>
      <c r="L156" s="7">
        <v>128</v>
      </c>
      <c r="M156" s="7">
        <v>15</v>
      </c>
      <c r="N156" s="7">
        <v>18.29</v>
      </c>
      <c r="O156" s="7">
        <v>99.77</v>
      </c>
      <c r="P156" s="7">
        <v>0</v>
      </c>
      <c r="Q156" s="7">
        <v>0</v>
      </c>
      <c r="R156" s="7">
        <v>10</v>
      </c>
      <c r="S156" s="7">
        <v>6</v>
      </c>
      <c r="T156" s="7">
        <v>2</v>
      </c>
      <c r="U156" s="7">
        <v>12</v>
      </c>
      <c r="V156" s="7">
        <v>31.21</v>
      </c>
      <c r="W156" s="7">
        <v>7.38</v>
      </c>
      <c r="X156" s="7">
        <v>19.28</v>
      </c>
      <c r="Y156" s="7" t="s">
        <v>668</v>
      </c>
      <c r="Z156" s="7">
        <v>0</v>
      </c>
      <c r="AA156" s="7">
        <v>37.1</v>
      </c>
      <c r="AB156" s="7">
        <v>8</v>
      </c>
      <c r="AC156" s="7">
        <v>0</v>
      </c>
      <c r="AD156" s="7" t="s">
        <v>20</v>
      </c>
      <c r="AE156" s="3" t="s">
        <v>475</v>
      </c>
      <c r="AF156" s="7" t="s">
        <v>406</v>
      </c>
      <c r="AG156" s="7" t="s">
        <v>502</v>
      </c>
      <c r="AH156" s="7">
        <v>5</v>
      </c>
    </row>
    <row r="157" spans="1:34" x14ac:dyDescent="0.3">
      <c r="A157" s="4" t="s">
        <v>817</v>
      </c>
      <c r="B157" s="4" t="s">
        <v>818</v>
      </c>
      <c r="C157" s="4" t="s">
        <v>38</v>
      </c>
      <c r="D157" s="4" t="s">
        <v>654</v>
      </c>
      <c r="E157" s="4" t="s">
        <v>483</v>
      </c>
      <c r="F157" s="4" t="s">
        <v>471</v>
      </c>
      <c r="G157" s="4" t="s">
        <v>472</v>
      </c>
      <c r="H157" s="4" t="s">
        <v>514</v>
      </c>
      <c r="I157" s="4">
        <v>8</v>
      </c>
      <c r="J157" s="4">
        <v>7</v>
      </c>
      <c r="K157" s="4">
        <v>3</v>
      </c>
      <c r="L157" s="4">
        <v>80</v>
      </c>
      <c r="M157" s="4">
        <v>18</v>
      </c>
      <c r="N157" s="4">
        <v>20</v>
      </c>
      <c r="O157" s="4">
        <v>104.74</v>
      </c>
      <c r="P157" s="4">
        <v>0</v>
      </c>
      <c r="Q157" s="4">
        <v>0</v>
      </c>
      <c r="R157" s="4">
        <v>6</v>
      </c>
      <c r="S157" s="4">
        <v>4</v>
      </c>
      <c r="T157" s="4">
        <v>2</v>
      </c>
      <c r="U157" s="4">
        <v>7</v>
      </c>
      <c r="V157" s="4">
        <v>31.15</v>
      </c>
      <c r="W157" s="4">
        <v>10.06</v>
      </c>
      <c r="X157" s="4">
        <v>15.87</v>
      </c>
      <c r="Y157" s="4" t="s">
        <v>583</v>
      </c>
      <c r="Z157" s="4">
        <v>0</v>
      </c>
      <c r="AA157" s="4">
        <v>29.7</v>
      </c>
      <c r="AB157" s="4">
        <v>3</v>
      </c>
      <c r="AC157" s="4">
        <v>0</v>
      </c>
      <c r="AD157" s="4" t="s">
        <v>142</v>
      </c>
      <c r="AE157" s="3" t="s">
        <v>475</v>
      </c>
      <c r="AF157" s="4" t="s">
        <v>328</v>
      </c>
      <c r="AG157" s="4" t="s">
        <v>476</v>
      </c>
      <c r="AH157" s="4">
        <v>1</v>
      </c>
    </row>
    <row r="158" spans="1:34" x14ac:dyDescent="0.3">
      <c r="A158" s="7" t="s">
        <v>819</v>
      </c>
      <c r="B158" s="7" t="s">
        <v>820</v>
      </c>
      <c r="C158" s="7" t="s">
        <v>20</v>
      </c>
      <c r="D158" s="7" t="s">
        <v>523</v>
      </c>
      <c r="E158" s="7" t="s">
        <v>483</v>
      </c>
      <c r="F158" s="7" t="s">
        <v>471</v>
      </c>
      <c r="G158" s="7" t="s">
        <v>491</v>
      </c>
      <c r="H158" s="7" t="s">
        <v>556</v>
      </c>
      <c r="I158" s="7">
        <v>12</v>
      </c>
      <c r="J158" s="7">
        <v>10</v>
      </c>
      <c r="K158" s="7">
        <v>1</v>
      </c>
      <c r="L158" s="7">
        <v>25</v>
      </c>
      <c r="M158" s="7">
        <v>7</v>
      </c>
      <c r="N158" s="7">
        <v>2.78</v>
      </c>
      <c r="O158" s="7">
        <v>102.28</v>
      </c>
      <c r="P158" s="7">
        <v>0</v>
      </c>
      <c r="Q158" s="7">
        <v>0</v>
      </c>
      <c r="R158" s="7">
        <v>2</v>
      </c>
      <c r="S158" s="7">
        <v>1</v>
      </c>
      <c r="T158" s="7">
        <v>2</v>
      </c>
      <c r="U158" s="7">
        <v>18</v>
      </c>
      <c r="V158" s="7">
        <v>20.57</v>
      </c>
      <c r="W158" s="7">
        <v>9.49</v>
      </c>
      <c r="X158" s="7">
        <v>16.59</v>
      </c>
      <c r="Y158" s="7" t="s">
        <v>628</v>
      </c>
      <c r="Z158" s="7">
        <v>0</v>
      </c>
      <c r="AA158" s="7">
        <v>43</v>
      </c>
      <c r="AB158" s="7">
        <v>11</v>
      </c>
      <c r="AC158" s="7">
        <v>0</v>
      </c>
      <c r="AD158" s="7" t="s">
        <v>37</v>
      </c>
      <c r="AE158" s="8" t="s">
        <v>486</v>
      </c>
      <c r="AF158" s="7" t="s">
        <v>103</v>
      </c>
      <c r="AG158" s="7" t="s">
        <v>476</v>
      </c>
      <c r="AH158" s="7">
        <v>0.75</v>
      </c>
    </row>
    <row r="159" spans="1:34" x14ac:dyDescent="0.3">
      <c r="A159" s="4" t="s">
        <v>821</v>
      </c>
      <c r="B159" s="4" t="s">
        <v>822</v>
      </c>
      <c r="C159" s="4" t="s">
        <v>28</v>
      </c>
      <c r="D159" s="4" t="s">
        <v>779</v>
      </c>
      <c r="E159" s="4" t="s">
        <v>483</v>
      </c>
      <c r="F159" s="4" t="s">
        <v>490</v>
      </c>
      <c r="G159" s="4" t="s">
        <v>472</v>
      </c>
      <c r="H159" s="4" t="s">
        <v>492</v>
      </c>
      <c r="I159" s="4">
        <v>8</v>
      </c>
      <c r="J159" s="4">
        <v>6</v>
      </c>
      <c r="K159" s="4">
        <v>3</v>
      </c>
      <c r="L159" s="4">
        <v>92</v>
      </c>
      <c r="M159" s="4">
        <v>68</v>
      </c>
      <c r="N159" s="4">
        <v>30.67</v>
      </c>
      <c r="O159" s="4">
        <v>154.18</v>
      </c>
      <c r="P159" s="4">
        <v>0</v>
      </c>
      <c r="Q159" s="4">
        <v>0</v>
      </c>
      <c r="R159" s="4">
        <v>7</v>
      </c>
      <c r="S159" s="4">
        <v>9</v>
      </c>
      <c r="T159" s="4">
        <v>0</v>
      </c>
      <c r="U159" s="4">
        <v>0</v>
      </c>
      <c r="V159" s="4" t="s">
        <v>493</v>
      </c>
      <c r="W159" s="4" t="s">
        <v>493</v>
      </c>
      <c r="X159" s="4" t="s">
        <v>493</v>
      </c>
      <c r="Y159" s="4" t="s">
        <v>493</v>
      </c>
      <c r="Z159" s="4">
        <v>0</v>
      </c>
      <c r="AA159" s="4">
        <v>0</v>
      </c>
      <c r="AB159" s="4">
        <v>4</v>
      </c>
      <c r="AC159" s="4">
        <v>0</v>
      </c>
      <c r="AD159" s="4" t="s">
        <v>55</v>
      </c>
      <c r="AE159" s="8" t="s">
        <v>486</v>
      </c>
      <c r="AF159" s="4" t="s">
        <v>313</v>
      </c>
      <c r="AG159" s="4" t="s">
        <v>476</v>
      </c>
      <c r="AH159" s="4">
        <v>7.5</v>
      </c>
    </row>
    <row r="160" spans="1:34" x14ac:dyDescent="0.3">
      <c r="A160" s="7" t="s">
        <v>823</v>
      </c>
      <c r="B160" s="7" t="s">
        <v>824</v>
      </c>
      <c r="C160" s="7" t="s">
        <v>37</v>
      </c>
      <c r="D160" s="7" t="s">
        <v>555</v>
      </c>
      <c r="E160" s="7" t="s">
        <v>483</v>
      </c>
      <c r="F160" s="7" t="s">
        <v>484</v>
      </c>
      <c r="G160" s="7" t="s">
        <v>472</v>
      </c>
      <c r="H160" s="7" t="s">
        <v>480</v>
      </c>
      <c r="I160" s="7">
        <v>8</v>
      </c>
      <c r="J160" s="7">
        <v>8</v>
      </c>
      <c r="K160" s="7">
        <v>2</v>
      </c>
      <c r="L160" s="7">
        <v>269</v>
      </c>
      <c r="M160" s="7">
        <v>111</v>
      </c>
      <c r="N160" s="7">
        <v>44.83</v>
      </c>
      <c r="O160" s="7">
        <v>122.04</v>
      </c>
      <c r="P160" s="7">
        <v>0</v>
      </c>
      <c r="Q160" s="7">
        <v>0</v>
      </c>
      <c r="R160" s="7">
        <v>31</v>
      </c>
      <c r="S160" s="7">
        <v>24</v>
      </c>
      <c r="T160" s="7">
        <v>0</v>
      </c>
      <c r="U160" s="7">
        <v>8</v>
      </c>
      <c r="V160" s="7">
        <v>25.44</v>
      </c>
      <c r="W160" s="7">
        <v>8.33</v>
      </c>
      <c r="X160" s="7">
        <v>14.45</v>
      </c>
      <c r="Y160" s="7" t="s">
        <v>725</v>
      </c>
      <c r="Z160" s="7">
        <v>0</v>
      </c>
      <c r="AA160" s="7">
        <v>25.6</v>
      </c>
      <c r="AB160" s="7">
        <v>8</v>
      </c>
      <c r="AC160" s="7">
        <v>0</v>
      </c>
      <c r="AD160" s="7" t="s">
        <v>81</v>
      </c>
      <c r="AE160" s="8" t="s">
        <v>486</v>
      </c>
      <c r="AF160" s="7" t="s">
        <v>78</v>
      </c>
      <c r="AG160" s="7" t="s">
        <v>476</v>
      </c>
      <c r="AH160" s="7">
        <v>18</v>
      </c>
    </row>
    <row r="161" spans="1:34" x14ac:dyDescent="0.3">
      <c r="A161" s="4" t="s">
        <v>825</v>
      </c>
      <c r="B161" s="4" t="s">
        <v>826</v>
      </c>
      <c r="C161" s="4" t="s">
        <v>81</v>
      </c>
      <c r="D161" s="4" t="s">
        <v>750</v>
      </c>
      <c r="E161" s="4" t="s">
        <v>589</v>
      </c>
      <c r="F161" s="4" t="s">
        <v>484</v>
      </c>
      <c r="G161" s="4" t="s">
        <v>472</v>
      </c>
      <c r="H161" s="4" t="s">
        <v>556</v>
      </c>
      <c r="I161" s="4">
        <v>14</v>
      </c>
      <c r="J161" s="4">
        <v>12</v>
      </c>
      <c r="K161" s="4">
        <v>3</v>
      </c>
      <c r="L161" s="4">
        <v>362</v>
      </c>
      <c r="M161" s="4">
        <v>71</v>
      </c>
      <c r="N161" s="4">
        <v>40.22</v>
      </c>
      <c r="O161" s="4">
        <v>141.91999999999999</v>
      </c>
      <c r="P161" s="4">
        <v>0</v>
      </c>
      <c r="Q161" s="4">
        <v>0</v>
      </c>
      <c r="R161" s="4">
        <v>34</v>
      </c>
      <c r="S161" s="4">
        <v>35</v>
      </c>
      <c r="T161" s="4">
        <v>0</v>
      </c>
      <c r="U161" s="4">
        <v>12</v>
      </c>
      <c r="V161" s="4">
        <v>31.48</v>
      </c>
      <c r="W161" s="4">
        <v>7.61</v>
      </c>
      <c r="X161" s="4">
        <v>10.53</v>
      </c>
      <c r="Y161" s="4" t="s">
        <v>710</v>
      </c>
      <c r="Z161" s="4">
        <v>0</v>
      </c>
      <c r="AA161" s="4">
        <v>48.5</v>
      </c>
      <c r="AB161" s="4">
        <v>4</v>
      </c>
      <c r="AC161" s="4">
        <v>0</v>
      </c>
      <c r="AD161" s="4" t="s">
        <v>19</v>
      </c>
      <c r="AE161" s="3" t="s">
        <v>475</v>
      </c>
      <c r="AF161" s="4" t="s">
        <v>241</v>
      </c>
      <c r="AG161" s="4" t="s">
        <v>476</v>
      </c>
      <c r="AH161" s="4">
        <v>0.5</v>
      </c>
    </row>
    <row r="162" spans="1:34" x14ac:dyDescent="0.3">
      <c r="A162" s="7" t="s">
        <v>827</v>
      </c>
      <c r="B162" s="7" t="s">
        <v>828</v>
      </c>
      <c r="C162" s="7" t="s">
        <v>20</v>
      </c>
      <c r="D162" s="7" t="s">
        <v>523</v>
      </c>
      <c r="E162" s="7" t="s">
        <v>536</v>
      </c>
      <c r="F162" s="7" t="s">
        <v>471</v>
      </c>
      <c r="G162" s="7" t="s">
        <v>491</v>
      </c>
      <c r="H162" s="7" t="s">
        <v>473</v>
      </c>
      <c r="I162" s="7">
        <v>10</v>
      </c>
      <c r="J162" s="7">
        <v>9</v>
      </c>
      <c r="K162" s="7">
        <v>3</v>
      </c>
      <c r="L162" s="7">
        <v>233</v>
      </c>
      <c r="M162" s="7">
        <v>19</v>
      </c>
      <c r="N162" s="7">
        <v>38.83</v>
      </c>
      <c r="O162" s="7">
        <v>98.06</v>
      </c>
      <c r="P162" s="7">
        <v>0</v>
      </c>
      <c r="Q162" s="7">
        <v>0</v>
      </c>
      <c r="R162" s="7">
        <v>19</v>
      </c>
      <c r="S162" s="7">
        <v>11</v>
      </c>
      <c r="T162" s="7">
        <v>2</v>
      </c>
      <c r="U162" s="7">
        <v>16</v>
      </c>
      <c r="V162" s="7">
        <v>29.46</v>
      </c>
      <c r="W162" s="7">
        <v>9.92</v>
      </c>
      <c r="X162" s="7">
        <v>15.9</v>
      </c>
      <c r="Y162" s="7" t="s">
        <v>671</v>
      </c>
      <c r="Z162" s="7">
        <v>0</v>
      </c>
      <c r="AA162" s="7">
        <v>34</v>
      </c>
      <c r="AB162" s="7">
        <v>4</v>
      </c>
      <c r="AC162" s="7">
        <v>0</v>
      </c>
      <c r="AD162" s="7" t="s">
        <v>46</v>
      </c>
      <c r="AE162" s="3" t="s">
        <v>475</v>
      </c>
      <c r="AF162" s="7" t="s">
        <v>66</v>
      </c>
      <c r="AG162" s="7" t="s">
        <v>476</v>
      </c>
      <c r="AH162" s="7">
        <v>18</v>
      </c>
    </row>
    <row r="163" spans="1:34" x14ac:dyDescent="0.3">
      <c r="A163" s="4" t="s">
        <v>829</v>
      </c>
      <c r="B163" s="4" t="s">
        <v>830</v>
      </c>
      <c r="C163" s="4" t="s">
        <v>38</v>
      </c>
      <c r="D163" s="4" t="s">
        <v>654</v>
      </c>
      <c r="E163" s="4" t="s">
        <v>483</v>
      </c>
      <c r="F163" s="4" t="s">
        <v>471</v>
      </c>
      <c r="G163" s="4" t="s">
        <v>472</v>
      </c>
      <c r="H163" s="4" t="s">
        <v>514</v>
      </c>
      <c r="I163" s="4">
        <v>11</v>
      </c>
      <c r="J163" s="4">
        <v>11</v>
      </c>
      <c r="K163" s="4">
        <v>0</v>
      </c>
      <c r="L163" s="4">
        <v>36</v>
      </c>
      <c r="M163" s="4">
        <v>19</v>
      </c>
      <c r="N163" s="4">
        <v>3.27</v>
      </c>
      <c r="O163" s="4">
        <v>122.14</v>
      </c>
      <c r="P163" s="4">
        <v>0</v>
      </c>
      <c r="Q163" s="4">
        <v>0</v>
      </c>
      <c r="R163" s="4">
        <v>3</v>
      </c>
      <c r="S163" s="4">
        <v>1</v>
      </c>
      <c r="T163" s="4">
        <v>0</v>
      </c>
      <c r="U163" s="4">
        <v>0</v>
      </c>
      <c r="V163" s="4">
        <v>24.33</v>
      </c>
      <c r="W163" s="4">
        <v>7.9</v>
      </c>
      <c r="X163" s="4">
        <v>17.16</v>
      </c>
      <c r="Y163" s="4" t="s">
        <v>701</v>
      </c>
      <c r="Z163" s="4">
        <v>0</v>
      </c>
      <c r="AA163" s="4">
        <v>40.9</v>
      </c>
      <c r="AB163" s="4">
        <v>2</v>
      </c>
      <c r="AC163" s="4">
        <v>0</v>
      </c>
      <c r="AD163" s="4" t="s">
        <v>46</v>
      </c>
      <c r="AE163" s="3" t="s">
        <v>475</v>
      </c>
      <c r="AF163" s="4" t="s">
        <v>279</v>
      </c>
      <c r="AG163" s="4" t="s">
        <v>476</v>
      </c>
      <c r="AH163" s="4">
        <v>21</v>
      </c>
    </row>
    <row r="164" spans="1:34" x14ac:dyDescent="0.3">
      <c r="A164" s="7" t="s">
        <v>831</v>
      </c>
      <c r="B164" s="7" t="s">
        <v>832</v>
      </c>
      <c r="C164" s="7" t="s">
        <v>47</v>
      </c>
      <c r="D164" s="7" t="s">
        <v>717</v>
      </c>
      <c r="E164" s="7" t="s">
        <v>483</v>
      </c>
      <c r="F164" s="7" t="s">
        <v>490</v>
      </c>
      <c r="G164" s="7" t="s">
        <v>472</v>
      </c>
      <c r="H164" s="7" t="s">
        <v>492</v>
      </c>
      <c r="I164" s="7">
        <v>11</v>
      </c>
      <c r="J164" s="7">
        <v>11</v>
      </c>
      <c r="K164" s="7">
        <v>3</v>
      </c>
      <c r="L164" s="7">
        <v>234</v>
      </c>
      <c r="M164" s="7">
        <v>101</v>
      </c>
      <c r="N164" s="7">
        <v>29.25</v>
      </c>
      <c r="O164" s="7">
        <v>183.3</v>
      </c>
      <c r="P164" s="7">
        <v>0</v>
      </c>
      <c r="Q164" s="7">
        <v>0</v>
      </c>
      <c r="R164" s="7">
        <v>25</v>
      </c>
      <c r="S164" s="7">
        <v>16</v>
      </c>
      <c r="T164" s="7">
        <v>0</v>
      </c>
      <c r="U164" s="7">
        <v>0</v>
      </c>
      <c r="V164" s="7" t="s">
        <v>493</v>
      </c>
      <c r="W164" s="7" t="s">
        <v>493</v>
      </c>
      <c r="X164" s="7" t="s">
        <v>493</v>
      </c>
      <c r="Y164" s="7" t="s">
        <v>493</v>
      </c>
      <c r="Z164" s="7">
        <v>0</v>
      </c>
      <c r="AA164" s="7">
        <v>0</v>
      </c>
      <c r="AB164" s="7">
        <v>7</v>
      </c>
      <c r="AC164" s="7">
        <v>0</v>
      </c>
      <c r="AD164" s="7" t="s">
        <v>46</v>
      </c>
      <c r="AE164" s="3" t="s">
        <v>475</v>
      </c>
      <c r="AF164" s="7" t="s">
        <v>103</v>
      </c>
      <c r="AG164" s="7" t="s">
        <v>476</v>
      </c>
      <c r="AH164" s="7">
        <v>1</v>
      </c>
    </row>
    <row r="165" spans="1:34" x14ac:dyDescent="0.3">
      <c r="A165" s="4" t="s">
        <v>833</v>
      </c>
      <c r="B165" s="4" t="s">
        <v>834</v>
      </c>
      <c r="C165" s="4" t="s">
        <v>46</v>
      </c>
      <c r="D165" s="4" t="s">
        <v>622</v>
      </c>
      <c r="E165" s="4" t="s">
        <v>483</v>
      </c>
      <c r="F165" s="4" t="s">
        <v>484</v>
      </c>
      <c r="G165" s="4" t="s">
        <v>472</v>
      </c>
      <c r="H165" s="4" t="s">
        <v>516</v>
      </c>
      <c r="I165" s="4">
        <v>9</v>
      </c>
      <c r="J165" s="4">
        <v>7</v>
      </c>
      <c r="K165" s="4">
        <v>3</v>
      </c>
      <c r="L165" s="4">
        <v>167</v>
      </c>
      <c r="M165" s="4">
        <v>110</v>
      </c>
      <c r="N165" s="4">
        <v>41.75</v>
      </c>
      <c r="O165" s="4">
        <v>111.25</v>
      </c>
      <c r="P165" s="4">
        <v>0</v>
      </c>
      <c r="Q165" s="4">
        <v>0</v>
      </c>
      <c r="R165" s="4">
        <v>21</v>
      </c>
      <c r="S165" s="4">
        <v>6</v>
      </c>
      <c r="T165" s="4">
        <v>0</v>
      </c>
      <c r="U165" s="4">
        <v>8</v>
      </c>
      <c r="V165" s="4">
        <v>15.6</v>
      </c>
      <c r="W165" s="4">
        <v>9.41</v>
      </c>
      <c r="X165" s="4">
        <v>11.55</v>
      </c>
      <c r="Y165" s="4" t="s">
        <v>541</v>
      </c>
      <c r="Z165" s="4">
        <v>0</v>
      </c>
      <c r="AA165" s="4">
        <v>23.3</v>
      </c>
      <c r="AB165" s="4">
        <v>4</v>
      </c>
      <c r="AC165" s="4">
        <v>0</v>
      </c>
      <c r="AD165" s="4" t="s">
        <v>47</v>
      </c>
      <c r="AE165" s="3" t="s">
        <v>475</v>
      </c>
      <c r="AF165" s="4" t="s">
        <v>298</v>
      </c>
      <c r="AG165" s="4" t="s">
        <v>476</v>
      </c>
      <c r="AH165" s="4">
        <v>4</v>
      </c>
    </row>
    <row r="166" spans="1:34" x14ac:dyDescent="0.3">
      <c r="A166" s="7" t="s">
        <v>835</v>
      </c>
      <c r="B166" s="7" t="s">
        <v>836</v>
      </c>
      <c r="C166" s="7" t="s">
        <v>55</v>
      </c>
      <c r="D166" s="7" t="s">
        <v>588</v>
      </c>
      <c r="E166" s="7" t="s">
        <v>483</v>
      </c>
      <c r="F166" s="7" t="s">
        <v>490</v>
      </c>
      <c r="G166" s="7" t="s">
        <v>472</v>
      </c>
      <c r="H166" s="7" t="s">
        <v>492</v>
      </c>
      <c r="I166" s="7">
        <v>11</v>
      </c>
      <c r="J166" s="7">
        <v>11</v>
      </c>
      <c r="K166" s="7">
        <v>3</v>
      </c>
      <c r="L166" s="7">
        <v>234</v>
      </c>
      <c r="M166" s="7">
        <v>101</v>
      </c>
      <c r="N166" s="7">
        <v>29.25</v>
      </c>
      <c r="O166" s="7">
        <v>183.3</v>
      </c>
      <c r="P166" s="7">
        <v>0</v>
      </c>
      <c r="Q166" s="7">
        <v>0</v>
      </c>
      <c r="R166" s="7">
        <v>25</v>
      </c>
      <c r="S166" s="7">
        <v>16</v>
      </c>
      <c r="T166" s="7">
        <v>0</v>
      </c>
      <c r="U166" s="7">
        <v>0</v>
      </c>
      <c r="V166" s="7" t="s">
        <v>493</v>
      </c>
      <c r="W166" s="7" t="s">
        <v>493</v>
      </c>
      <c r="X166" s="7" t="s">
        <v>493</v>
      </c>
      <c r="Y166" s="7" t="s">
        <v>493</v>
      </c>
      <c r="Z166" s="7">
        <v>0</v>
      </c>
      <c r="AA166" s="7">
        <v>0</v>
      </c>
      <c r="AB166" s="7">
        <v>7</v>
      </c>
      <c r="AC166" s="7">
        <v>0</v>
      </c>
      <c r="AD166" s="7" t="s">
        <v>46</v>
      </c>
      <c r="AE166" s="3" t="s">
        <v>475</v>
      </c>
      <c r="AF166" s="7" t="s">
        <v>103</v>
      </c>
      <c r="AG166" s="7" t="s">
        <v>476</v>
      </c>
      <c r="AH166" s="7">
        <v>1</v>
      </c>
    </row>
    <row r="167" spans="1:34" x14ac:dyDescent="0.3">
      <c r="A167" s="4" t="s">
        <v>837</v>
      </c>
      <c r="B167" s="4" t="s">
        <v>838</v>
      </c>
      <c r="C167" s="4" t="s">
        <v>46</v>
      </c>
      <c r="D167" s="4" t="s">
        <v>622</v>
      </c>
      <c r="E167" s="4" t="s">
        <v>483</v>
      </c>
      <c r="F167" s="4" t="s">
        <v>484</v>
      </c>
      <c r="G167" s="4" t="s">
        <v>491</v>
      </c>
      <c r="H167" s="4" t="s">
        <v>473</v>
      </c>
      <c r="I167" s="4">
        <v>11</v>
      </c>
      <c r="J167" s="4">
        <v>10</v>
      </c>
      <c r="K167" s="4">
        <v>3</v>
      </c>
      <c r="L167" s="4">
        <v>128</v>
      </c>
      <c r="M167" s="4">
        <v>113</v>
      </c>
      <c r="N167" s="4">
        <v>18.29</v>
      </c>
      <c r="O167" s="4">
        <v>159.63999999999999</v>
      </c>
      <c r="P167" s="4">
        <v>0</v>
      </c>
      <c r="Q167" s="4">
        <v>0</v>
      </c>
      <c r="R167" s="4">
        <v>11</v>
      </c>
      <c r="S167" s="4">
        <v>7</v>
      </c>
      <c r="T167" s="4">
        <v>0</v>
      </c>
      <c r="U167" s="4">
        <v>13</v>
      </c>
      <c r="V167" s="4">
        <v>25.11</v>
      </c>
      <c r="W167" s="4">
        <v>9.69</v>
      </c>
      <c r="X167" s="4">
        <v>15.6</v>
      </c>
      <c r="Y167" s="4" t="s">
        <v>567</v>
      </c>
      <c r="Z167" s="4">
        <v>0</v>
      </c>
      <c r="AA167" s="4">
        <v>41.5</v>
      </c>
      <c r="AB167" s="4">
        <v>5</v>
      </c>
      <c r="AC167" s="4">
        <v>0</v>
      </c>
      <c r="AD167" s="4" t="s">
        <v>19</v>
      </c>
      <c r="AE167" s="8" t="s">
        <v>486</v>
      </c>
      <c r="AF167" s="4" t="s">
        <v>347</v>
      </c>
      <c r="AG167" s="4" t="s">
        <v>476</v>
      </c>
      <c r="AH167" s="4">
        <v>0.75</v>
      </c>
    </row>
    <row r="168" spans="1:34" x14ac:dyDescent="0.3">
      <c r="A168" s="7" t="s">
        <v>839</v>
      </c>
      <c r="B168" s="7" t="s">
        <v>840</v>
      </c>
      <c r="C168" s="7" t="s">
        <v>55</v>
      </c>
      <c r="D168" s="7" t="s">
        <v>588</v>
      </c>
      <c r="E168" s="7" t="s">
        <v>483</v>
      </c>
      <c r="F168" s="7" t="s">
        <v>484</v>
      </c>
      <c r="G168" s="7" t="s">
        <v>491</v>
      </c>
      <c r="H168" s="7" t="s">
        <v>516</v>
      </c>
      <c r="I168" s="7">
        <v>13</v>
      </c>
      <c r="J168" s="7">
        <v>13</v>
      </c>
      <c r="K168" s="7">
        <v>0</v>
      </c>
      <c r="L168" s="7">
        <v>687</v>
      </c>
      <c r="M168" s="7">
        <v>42</v>
      </c>
      <c r="N168" s="7">
        <v>52.85</v>
      </c>
      <c r="O168" s="7">
        <v>167.89</v>
      </c>
      <c r="P168" s="7">
        <v>1</v>
      </c>
      <c r="Q168" s="7">
        <v>0</v>
      </c>
      <c r="R168" s="7">
        <v>74</v>
      </c>
      <c r="S168" s="7">
        <v>38</v>
      </c>
      <c r="T168" s="7">
        <v>1</v>
      </c>
      <c r="U168" s="7">
        <v>22</v>
      </c>
      <c r="V168" s="7">
        <v>15.25</v>
      </c>
      <c r="W168" s="7">
        <v>7.43</v>
      </c>
      <c r="X168" s="7">
        <v>12.26</v>
      </c>
      <c r="Y168" s="7" t="s">
        <v>637</v>
      </c>
      <c r="Z168" s="7">
        <v>0</v>
      </c>
      <c r="AA168" s="7">
        <v>43.8</v>
      </c>
      <c r="AB168" s="7">
        <v>3</v>
      </c>
      <c r="AC168" s="7">
        <v>0</v>
      </c>
      <c r="AD168" s="7" t="s">
        <v>55</v>
      </c>
      <c r="AE168" s="8" t="s">
        <v>486</v>
      </c>
      <c r="AF168" s="7" t="s">
        <v>165</v>
      </c>
      <c r="AG168" s="7" t="s">
        <v>476</v>
      </c>
      <c r="AH168" s="7">
        <v>6</v>
      </c>
    </row>
    <row r="169" spans="1:34" x14ac:dyDescent="0.3">
      <c r="A169" s="4" t="s">
        <v>841</v>
      </c>
      <c r="B169" s="4" t="s">
        <v>842</v>
      </c>
      <c r="C169" s="4" t="s">
        <v>28</v>
      </c>
      <c r="D169" s="4" t="s">
        <v>779</v>
      </c>
      <c r="E169" s="4" t="s">
        <v>483</v>
      </c>
      <c r="F169" s="4" t="s">
        <v>484</v>
      </c>
      <c r="G169" s="4" t="s">
        <v>472</v>
      </c>
      <c r="H169" s="4" t="s">
        <v>516</v>
      </c>
      <c r="I169" s="4">
        <v>9</v>
      </c>
      <c r="J169" s="4">
        <v>7</v>
      </c>
      <c r="K169" s="4">
        <v>3</v>
      </c>
      <c r="L169" s="4">
        <v>167</v>
      </c>
      <c r="M169" s="4">
        <v>110</v>
      </c>
      <c r="N169" s="4">
        <v>41.75</v>
      </c>
      <c r="O169" s="4">
        <v>111.25</v>
      </c>
      <c r="P169" s="4">
        <v>0</v>
      </c>
      <c r="Q169" s="4">
        <v>0</v>
      </c>
      <c r="R169" s="4">
        <v>21</v>
      </c>
      <c r="S169" s="4">
        <v>6</v>
      </c>
      <c r="T169" s="4">
        <v>0</v>
      </c>
      <c r="U169" s="4">
        <v>8</v>
      </c>
      <c r="V169" s="4">
        <v>15.6</v>
      </c>
      <c r="W169" s="4">
        <v>9.41</v>
      </c>
      <c r="X169" s="4">
        <v>11.55</v>
      </c>
      <c r="Y169" s="4" t="s">
        <v>541</v>
      </c>
      <c r="Z169" s="4">
        <v>0</v>
      </c>
      <c r="AA169" s="4">
        <v>23.3</v>
      </c>
      <c r="AB169" s="4">
        <v>4</v>
      </c>
      <c r="AC169" s="4">
        <v>0</v>
      </c>
      <c r="AD169" s="4" t="s">
        <v>47</v>
      </c>
      <c r="AE169" s="3" t="s">
        <v>475</v>
      </c>
      <c r="AF169" s="4" t="s">
        <v>298</v>
      </c>
      <c r="AG169" s="4" t="s">
        <v>476</v>
      </c>
      <c r="AH169" s="4">
        <v>4</v>
      </c>
    </row>
    <row r="170" spans="1:34" x14ac:dyDescent="0.3">
      <c r="A170" s="7" t="s">
        <v>843</v>
      </c>
      <c r="B170" s="7" t="s">
        <v>844</v>
      </c>
      <c r="C170" s="7" t="s">
        <v>55</v>
      </c>
      <c r="D170" s="7" t="s">
        <v>588</v>
      </c>
      <c r="E170" s="7" t="s">
        <v>597</v>
      </c>
      <c r="F170" s="7" t="s">
        <v>471</v>
      </c>
      <c r="G170" s="7" t="s">
        <v>472</v>
      </c>
      <c r="H170" s="7" t="s">
        <v>509</v>
      </c>
      <c r="I170" s="7">
        <v>9</v>
      </c>
      <c r="J170" s="7">
        <v>8</v>
      </c>
      <c r="K170" s="7">
        <v>1</v>
      </c>
      <c r="L170" s="7">
        <v>163</v>
      </c>
      <c r="M170" s="7">
        <v>19</v>
      </c>
      <c r="N170" s="7">
        <v>23.29</v>
      </c>
      <c r="O170" s="7">
        <v>115.23</v>
      </c>
      <c r="P170" s="7">
        <v>0</v>
      </c>
      <c r="Q170" s="7">
        <v>0</v>
      </c>
      <c r="R170" s="7">
        <v>13</v>
      </c>
      <c r="S170" s="7">
        <v>8</v>
      </c>
      <c r="T170" s="7">
        <v>1</v>
      </c>
      <c r="U170" s="7">
        <v>15</v>
      </c>
      <c r="V170" s="7">
        <v>22.51</v>
      </c>
      <c r="W170" s="7">
        <v>6.77</v>
      </c>
      <c r="X170" s="7">
        <v>14.21</v>
      </c>
      <c r="Y170" s="7" t="s">
        <v>585</v>
      </c>
      <c r="Z170" s="7">
        <v>0</v>
      </c>
      <c r="AA170" s="7">
        <v>28.2</v>
      </c>
      <c r="AB170" s="7">
        <v>9</v>
      </c>
      <c r="AC170" s="7">
        <v>0</v>
      </c>
      <c r="AD170" s="7" t="s">
        <v>19</v>
      </c>
      <c r="AE170" s="3" t="s">
        <v>475</v>
      </c>
      <c r="AF170" s="7" t="s">
        <v>392</v>
      </c>
      <c r="AG170" s="7" t="s">
        <v>476</v>
      </c>
      <c r="AH170" s="7">
        <v>15</v>
      </c>
    </row>
    <row r="171" spans="1:34" x14ac:dyDescent="0.3">
      <c r="A171" s="4" t="s">
        <v>845</v>
      </c>
      <c r="B171" s="4" t="s">
        <v>846</v>
      </c>
      <c r="C171" s="4" t="s">
        <v>142</v>
      </c>
      <c r="D171" s="4" t="s">
        <v>684</v>
      </c>
      <c r="E171" s="4" t="s">
        <v>483</v>
      </c>
      <c r="F171" s="4" t="s">
        <v>490</v>
      </c>
      <c r="G171" s="4" t="s">
        <v>491</v>
      </c>
      <c r="H171" s="4" t="s">
        <v>492</v>
      </c>
      <c r="I171" s="4">
        <v>12</v>
      </c>
      <c r="J171" s="4">
        <v>11</v>
      </c>
      <c r="K171" s="4">
        <v>1</v>
      </c>
      <c r="L171" s="4">
        <v>461</v>
      </c>
      <c r="M171" s="4">
        <v>77</v>
      </c>
      <c r="N171" s="4">
        <v>46.1</v>
      </c>
      <c r="O171" s="4">
        <v>115.23</v>
      </c>
      <c r="P171" s="4">
        <v>0</v>
      </c>
      <c r="Q171" s="4">
        <v>0</v>
      </c>
      <c r="R171" s="4">
        <v>40</v>
      </c>
      <c r="S171" s="4">
        <v>35</v>
      </c>
      <c r="T171" s="4">
        <v>0</v>
      </c>
      <c r="U171" s="4">
        <v>0</v>
      </c>
      <c r="V171" s="4" t="s">
        <v>493</v>
      </c>
      <c r="W171" s="4" t="s">
        <v>493</v>
      </c>
      <c r="X171" s="4" t="s">
        <v>493</v>
      </c>
      <c r="Y171" s="4" t="s">
        <v>493</v>
      </c>
      <c r="Z171" s="4">
        <v>0</v>
      </c>
      <c r="AA171" s="4">
        <v>0</v>
      </c>
      <c r="AB171" s="4">
        <v>2</v>
      </c>
      <c r="AC171" s="4">
        <v>0</v>
      </c>
      <c r="AD171" s="4" t="s">
        <v>81</v>
      </c>
      <c r="AE171" s="8" t="s">
        <v>486</v>
      </c>
      <c r="AF171" s="4" t="s">
        <v>171</v>
      </c>
      <c r="AG171" s="4" t="s">
        <v>476</v>
      </c>
      <c r="AH171" s="4">
        <v>18</v>
      </c>
    </row>
    <row r="172" spans="1:34" x14ac:dyDescent="0.3">
      <c r="A172" s="7" t="s">
        <v>847</v>
      </c>
      <c r="B172" s="7" t="s">
        <v>848</v>
      </c>
      <c r="C172" s="7" t="s">
        <v>47</v>
      </c>
      <c r="D172" s="7" t="s">
        <v>717</v>
      </c>
      <c r="E172" s="7" t="s">
        <v>483</v>
      </c>
      <c r="F172" s="7" t="s">
        <v>484</v>
      </c>
      <c r="G172" s="7" t="s">
        <v>472</v>
      </c>
      <c r="H172" s="7" t="s">
        <v>516</v>
      </c>
      <c r="I172" s="7">
        <v>9</v>
      </c>
      <c r="J172" s="7">
        <v>7</v>
      </c>
      <c r="K172" s="7">
        <v>3</v>
      </c>
      <c r="L172" s="7">
        <v>167</v>
      </c>
      <c r="M172" s="7">
        <v>110</v>
      </c>
      <c r="N172" s="7">
        <v>41.75</v>
      </c>
      <c r="O172" s="7">
        <v>111.25</v>
      </c>
      <c r="P172" s="7">
        <v>0</v>
      </c>
      <c r="Q172" s="7">
        <v>0</v>
      </c>
      <c r="R172" s="7">
        <v>21</v>
      </c>
      <c r="S172" s="7">
        <v>6</v>
      </c>
      <c r="T172" s="7">
        <v>0</v>
      </c>
      <c r="U172" s="7">
        <v>8</v>
      </c>
      <c r="V172" s="7">
        <v>15.6</v>
      </c>
      <c r="W172" s="7">
        <v>9.41</v>
      </c>
      <c r="X172" s="7">
        <v>11.55</v>
      </c>
      <c r="Y172" s="7" t="s">
        <v>541</v>
      </c>
      <c r="Z172" s="7">
        <v>0</v>
      </c>
      <c r="AA172" s="7">
        <v>23.3</v>
      </c>
      <c r="AB172" s="7">
        <v>4</v>
      </c>
      <c r="AC172" s="7">
        <v>0</v>
      </c>
      <c r="AD172" s="7" t="s">
        <v>47</v>
      </c>
      <c r="AE172" s="3" t="s">
        <v>475</v>
      </c>
      <c r="AF172" s="7" t="s">
        <v>298</v>
      </c>
      <c r="AG172" s="7" t="s">
        <v>476</v>
      </c>
      <c r="AH172" s="7">
        <v>4</v>
      </c>
    </row>
    <row r="173" spans="1:34" x14ac:dyDescent="0.3">
      <c r="A173" s="4" t="s">
        <v>849</v>
      </c>
      <c r="B173" s="4" t="s">
        <v>850</v>
      </c>
      <c r="C173" s="4" t="s">
        <v>37</v>
      </c>
      <c r="D173" s="4" t="s">
        <v>555</v>
      </c>
      <c r="E173" s="4" t="s">
        <v>479</v>
      </c>
      <c r="F173" s="4" t="s">
        <v>490</v>
      </c>
      <c r="G173" s="4" t="s">
        <v>472</v>
      </c>
      <c r="H173" s="4" t="s">
        <v>492</v>
      </c>
      <c r="I173" s="4">
        <v>8</v>
      </c>
      <c r="J173" s="4">
        <v>8</v>
      </c>
      <c r="K173" s="4">
        <v>3</v>
      </c>
      <c r="L173" s="4">
        <v>170</v>
      </c>
      <c r="M173" s="4">
        <v>56</v>
      </c>
      <c r="N173" s="4">
        <v>34</v>
      </c>
      <c r="O173" s="4">
        <v>174.15</v>
      </c>
      <c r="P173" s="4">
        <v>0</v>
      </c>
      <c r="Q173" s="4">
        <v>0</v>
      </c>
      <c r="R173" s="4">
        <v>20</v>
      </c>
      <c r="S173" s="4">
        <v>20</v>
      </c>
      <c r="T173" s="4">
        <v>0</v>
      </c>
      <c r="U173" s="4">
        <v>0</v>
      </c>
      <c r="V173" s="4" t="s">
        <v>493</v>
      </c>
      <c r="W173" s="4" t="s">
        <v>493</v>
      </c>
      <c r="X173" s="4" t="s">
        <v>493</v>
      </c>
      <c r="Y173" s="4" t="s">
        <v>493</v>
      </c>
      <c r="Z173" s="4">
        <v>0</v>
      </c>
      <c r="AA173" s="4">
        <v>0</v>
      </c>
      <c r="AB173" s="4">
        <v>8</v>
      </c>
      <c r="AC173" s="4">
        <v>0</v>
      </c>
      <c r="AD173" s="4" t="s">
        <v>20</v>
      </c>
      <c r="AE173" s="3" t="s">
        <v>475</v>
      </c>
      <c r="AF173" s="4" t="s">
        <v>15</v>
      </c>
      <c r="AG173" s="4" t="s">
        <v>476</v>
      </c>
      <c r="AH173" s="4">
        <v>6</v>
      </c>
    </row>
    <row r="174" spans="1:34" x14ac:dyDescent="0.3">
      <c r="A174" s="7" t="s">
        <v>851</v>
      </c>
      <c r="B174" s="7" t="s">
        <v>852</v>
      </c>
      <c r="C174" s="7" t="s">
        <v>19</v>
      </c>
      <c r="D174" s="7" t="s">
        <v>469</v>
      </c>
      <c r="E174" s="7" t="s">
        <v>483</v>
      </c>
      <c r="F174" s="7" t="s">
        <v>490</v>
      </c>
      <c r="G174" s="7" t="s">
        <v>472</v>
      </c>
      <c r="H174" s="7" t="s">
        <v>492</v>
      </c>
      <c r="I174" s="7">
        <v>14</v>
      </c>
      <c r="J174" s="7">
        <v>14</v>
      </c>
      <c r="K174" s="7">
        <v>1</v>
      </c>
      <c r="L174" s="7">
        <v>541</v>
      </c>
      <c r="M174" s="7">
        <v>78</v>
      </c>
      <c r="N174" s="7">
        <v>41.62</v>
      </c>
      <c r="O174" s="7">
        <v>180.7</v>
      </c>
      <c r="P174" s="7">
        <v>0</v>
      </c>
      <c r="Q174" s="7">
        <v>0</v>
      </c>
      <c r="R174" s="7">
        <v>58</v>
      </c>
      <c r="S174" s="7">
        <v>23</v>
      </c>
      <c r="T174" s="7">
        <v>0</v>
      </c>
      <c r="U174" s="7">
        <v>0</v>
      </c>
      <c r="V174" s="7" t="s">
        <v>493</v>
      </c>
      <c r="W174" s="7" t="s">
        <v>493</v>
      </c>
      <c r="X174" s="7" t="s">
        <v>493</v>
      </c>
      <c r="Y174" s="7" t="s">
        <v>493</v>
      </c>
      <c r="Z174" s="7">
        <v>0</v>
      </c>
      <c r="AA174" s="7">
        <v>0</v>
      </c>
      <c r="AB174" s="7">
        <v>3</v>
      </c>
      <c r="AC174" s="7">
        <v>0</v>
      </c>
      <c r="AD174" s="7" t="s">
        <v>28</v>
      </c>
      <c r="AE174" s="8" t="s">
        <v>486</v>
      </c>
      <c r="AF174" s="7" t="s">
        <v>134</v>
      </c>
      <c r="AG174" s="7" t="s">
        <v>476</v>
      </c>
      <c r="AH174" s="7">
        <v>15</v>
      </c>
    </row>
    <row r="175" spans="1:34" x14ac:dyDescent="0.3">
      <c r="A175" s="4" t="s">
        <v>853</v>
      </c>
      <c r="B175" s="4" t="s">
        <v>854</v>
      </c>
      <c r="C175" s="4" t="s">
        <v>20</v>
      </c>
      <c r="D175" s="4" t="s">
        <v>523</v>
      </c>
      <c r="E175" s="4" t="s">
        <v>479</v>
      </c>
      <c r="F175" s="4" t="s">
        <v>484</v>
      </c>
      <c r="G175" s="4" t="s">
        <v>491</v>
      </c>
      <c r="H175" s="4" t="s">
        <v>473</v>
      </c>
      <c r="I175" s="4">
        <v>9</v>
      </c>
      <c r="J175" s="4">
        <v>7</v>
      </c>
      <c r="K175" s="4">
        <v>1</v>
      </c>
      <c r="L175" s="4">
        <v>124</v>
      </c>
      <c r="M175" s="4">
        <v>76</v>
      </c>
      <c r="N175" s="4">
        <v>20.67</v>
      </c>
      <c r="O175" s="4">
        <v>122.36</v>
      </c>
      <c r="P175" s="4">
        <v>0</v>
      </c>
      <c r="Q175" s="4">
        <v>0</v>
      </c>
      <c r="R175" s="4">
        <v>12</v>
      </c>
      <c r="S175" s="4">
        <v>7</v>
      </c>
      <c r="T175" s="4">
        <v>0</v>
      </c>
      <c r="U175" s="4">
        <v>10</v>
      </c>
      <c r="V175" s="4">
        <v>17.79</v>
      </c>
      <c r="W175" s="4">
        <v>8.09</v>
      </c>
      <c r="X175" s="4">
        <v>15.26</v>
      </c>
      <c r="Y175" s="4" t="s">
        <v>527</v>
      </c>
      <c r="Z175" s="4">
        <v>0</v>
      </c>
      <c r="AA175" s="4">
        <v>26.9</v>
      </c>
      <c r="AB175" s="4">
        <v>2</v>
      </c>
      <c r="AC175" s="4">
        <v>0</v>
      </c>
      <c r="AD175" s="4" t="s">
        <v>38</v>
      </c>
      <c r="AE175" s="8" t="s">
        <v>486</v>
      </c>
      <c r="AF175" s="4" t="s">
        <v>406</v>
      </c>
      <c r="AG175" s="4" t="s">
        <v>476</v>
      </c>
      <c r="AH175" s="4">
        <v>6</v>
      </c>
    </row>
    <row r="176" spans="1:34" x14ac:dyDescent="0.3">
      <c r="A176" s="7" t="s">
        <v>855</v>
      </c>
      <c r="B176" s="7" t="s">
        <v>856</v>
      </c>
      <c r="C176" s="7" t="s">
        <v>19</v>
      </c>
      <c r="D176" s="7" t="s">
        <v>469</v>
      </c>
      <c r="E176" s="7" t="s">
        <v>597</v>
      </c>
      <c r="F176" s="7" t="s">
        <v>471</v>
      </c>
      <c r="G176" s="7" t="s">
        <v>472</v>
      </c>
      <c r="H176" s="7" t="s">
        <v>509</v>
      </c>
      <c r="I176" s="7">
        <v>9</v>
      </c>
      <c r="J176" s="7">
        <v>8</v>
      </c>
      <c r="K176" s="7">
        <v>1</v>
      </c>
      <c r="L176" s="7">
        <v>163</v>
      </c>
      <c r="M176" s="7">
        <v>19</v>
      </c>
      <c r="N176" s="7">
        <v>23.29</v>
      </c>
      <c r="O176" s="7">
        <v>115.23</v>
      </c>
      <c r="P176" s="7">
        <v>0</v>
      </c>
      <c r="Q176" s="7">
        <v>0</v>
      </c>
      <c r="R176" s="7">
        <v>13</v>
      </c>
      <c r="S176" s="7">
        <v>8</v>
      </c>
      <c r="T176" s="7">
        <v>1</v>
      </c>
      <c r="U176" s="7">
        <v>15</v>
      </c>
      <c r="V176" s="7">
        <v>22.51</v>
      </c>
      <c r="W176" s="7">
        <v>6.77</v>
      </c>
      <c r="X176" s="7">
        <v>14.21</v>
      </c>
      <c r="Y176" s="7" t="s">
        <v>585</v>
      </c>
      <c r="Z176" s="7">
        <v>0</v>
      </c>
      <c r="AA176" s="7">
        <v>28.2</v>
      </c>
      <c r="AB176" s="7">
        <v>9</v>
      </c>
      <c r="AC176" s="7">
        <v>0</v>
      </c>
      <c r="AD176" s="7" t="s">
        <v>19</v>
      </c>
      <c r="AE176" s="3" t="s">
        <v>475</v>
      </c>
      <c r="AF176" s="7" t="s">
        <v>392</v>
      </c>
      <c r="AG176" s="7" t="s">
        <v>476</v>
      </c>
      <c r="AH176" s="7">
        <v>15</v>
      </c>
    </row>
    <row r="177" spans="1:34" x14ac:dyDescent="0.3">
      <c r="A177" s="4" t="s">
        <v>857</v>
      </c>
      <c r="B177" s="4" t="s">
        <v>858</v>
      </c>
      <c r="C177" s="4" t="s">
        <v>37</v>
      </c>
      <c r="D177" s="4" t="s">
        <v>555</v>
      </c>
      <c r="E177" s="4" t="s">
        <v>483</v>
      </c>
      <c r="F177" s="4" t="s">
        <v>490</v>
      </c>
      <c r="G177" s="4" t="s">
        <v>472</v>
      </c>
      <c r="H177" s="4" t="s">
        <v>492</v>
      </c>
      <c r="I177" s="4">
        <v>11</v>
      </c>
      <c r="J177" s="4">
        <v>11</v>
      </c>
      <c r="K177" s="4">
        <v>3</v>
      </c>
      <c r="L177" s="4">
        <v>341</v>
      </c>
      <c r="M177" s="4">
        <v>30</v>
      </c>
      <c r="N177" s="4">
        <v>42.62</v>
      </c>
      <c r="O177" s="4">
        <v>139.97999999999999</v>
      </c>
      <c r="P177" s="4">
        <v>0</v>
      </c>
      <c r="Q177" s="4">
        <v>0</v>
      </c>
      <c r="R177" s="4">
        <v>39</v>
      </c>
      <c r="S177" s="4">
        <v>40</v>
      </c>
      <c r="T177" s="4">
        <v>0</v>
      </c>
      <c r="U177" s="4">
        <v>0</v>
      </c>
      <c r="V177" s="4" t="s">
        <v>493</v>
      </c>
      <c r="W177" s="4" t="s">
        <v>493</v>
      </c>
      <c r="X177" s="4" t="s">
        <v>493</v>
      </c>
      <c r="Y177" s="4" t="s">
        <v>493</v>
      </c>
      <c r="Z177" s="4">
        <v>0</v>
      </c>
      <c r="AA177" s="4">
        <v>0</v>
      </c>
      <c r="AB177" s="4">
        <v>8</v>
      </c>
      <c r="AC177" s="4">
        <v>0</v>
      </c>
      <c r="AD177" s="4" t="s">
        <v>38</v>
      </c>
      <c r="AE177" s="3" t="s">
        <v>475</v>
      </c>
      <c r="AF177" s="4" t="s">
        <v>34</v>
      </c>
      <c r="AG177" s="4" t="s">
        <v>476</v>
      </c>
      <c r="AH177" s="4">
        <v>0.2</v>
      </c>
    </row>
    <row r="178" spans="1:34" x14ac:dyDescent="0.3">
      <c r="A178" s="7" t="s">
        <v>859</v>
      </c>
      <c r="B178" s="7" t="s">
        <v>860</v>
      </c>
      <c r="C178" s="7" t="s">
        <v>19</v>
      </c>
      <c r="D178" s="7" t="s">
        <v>469</v>
      </c>
      <c r="E178" s="7" t="s">
        <v>483</v>
      </c>
      <c r="F178" s="7" t="s">
        <v>471</v>
      </c>
      <c r="G178" s="7" t="s">
        <v>472</v>
      </c>
      <c r="H178" s="7" t="s">
        <v>473</v>
      </c>
      <c r="I178" s="7">
        <v>12</v>
      </c>
      <c r="J178" s="7">
        <v>11</v>
      </c>
      <c r="K178" s="7">
        <v>0</v>
      </c>
      <c r="L178" s="7">
        <v>200</v>
      </c>
      <c r="M178" s="7">
        <v>14</v>
      </c>
      <c r="N178" s="7">
        <v>18.18</v>
      </c>
      <c r="O178" s="7">
        <v>98.72</v>
      </c>
      <c r="P178" s="7">
        <v>0</v>
      </c>
      <c r="Q178" s="7">
        <v>0</v>
      </c>
      <c r="R178" s="7">
        <v>16</v>
      </c>
      <c r="S178" s="7">
        <v>10</v>
      </c>
      <c r="T178" s="7">
        <v>2</v>
      </c>
      <c r="U178" s="7">
        <v>20</v>
      </c>
      <c r="V178" s="7">
        <v>28.33</v>
      </c>
      <c r="W178" s="7">
        <v>10.4</v>
      </c>
      <c r="X178" s="7">
        <v>11.39</v>
      </c>
      <c r="Y178" s="7" t="s">
        <v>646</v>
      </c>
      <c r="Z178" s="7">
        <v>1</v>
      </c>
      <c r="AA178" s="7">
        <v>41.9</v>
      </c>
      <c r="AB178" s="7">
        <v>12</v>
      </c>
      <c r="AC178" s="7">
        <v>0</v>
      </c>
      <c r="AD178" s="7" t="s">
        <v>81</v>
      </c>
      <c r="AE178" s="8" t="s">
        <v>486</v>
      </c>
      <c r="AF178" s="7" t="s">
        <v>386</v>
      </c>
      <c r="AG178" s="7" t="s">
        <v>502</v>
      </c>
      <c r="AH178" s="7">
        <v>10</v>
      </c>
    </row>
    <row r="179" spans="1:34" x14ac:dyDescent="0.3">
      <c r="A179" s="4" t="s">
        <v>861</v>
      </c>
      <c r="B179" s="4" t="s">
        <v>862</v>
      </c>
      <c r="C179" s="4" t="s">
        <v>142</v>
      </c>
      <c r="D179" s="4" t="s">
        <v>684</v>
      </c>
      <c r="E179" s="4" t="s">
        <v>483</v>
      </c>
      <c r="F179" s="4" t="s">
        <v>484</v>
      </c>
      <c r="G179" s="4" t="s">
        <v>472</v>
      </c>
      <c r="H179" s="4" t="s">
        <v>514</v>
      </c>
      <c r="I179" s="4">
        <v>11</v>
      </c>
      <c r="J179" s="4">
        <v>10</v>
      </c>
      <c r="K179" s="4">
        <v>3</v>
      </c>
      <c r="L179" s="4">
        <v>187</v>
      </c>
      <c r="M179" s="4">
        <v>60</v>
      </c>
      <c r="N179" s="4">
        <v>26.71</v>
      </c>
      <c r="O179" s="4">
        <v>153.07</v>
      </c>
      <c r="P179" s="4">
        <v>0</v>
      </c>
      <c r="Q179" s="4">
        <v>0</v>
      </c>
      <c r="R179" s="4">
        <v>24</v>
      </c>
      <c r="S179" s="4">
        <v>11</v>
      </c>
      <c r="T179" s="4">
        <v>0</v>
      </c>
      <c r="U179" s="4">
        <v>5</v>
      </c>
      <c r="V179" s="4">
        <v>15.55</v>
      </c>
      <c r="W179" s="4">
        <v>10.28</v>
      </c>
      <c r="X179" s="4">
        <v>16.78</v>
      </c>
      <c r="Y179" s="4" t="s">
        <v>572</v>
      </c>
      <c r="Z179" s="4">
        <v>0</v>
      </c>
      <c r="AA179" s="4">
        <v>30.9</v>
      </c>
      <c r="AB179" s="4">
        <v>9</v>
      </c>
      <c r="AC179" s="4">
        <v>0</v>
      </c>
      <c r="AD179" s="4" t="s">
        <v>37</v>
      </c>
      <c r="AE179" s="8" t="s">
        <v>486</v>
      </c>
      <c r="AF179" s="4" t="s">
        <v>274</v>
      </c>
      <c r="AG179" s="4" t="s">
        <v>476</v>
      </c>
      <c r="AH179" s="4">
        <v>0.4</v>
      </c>
    </row>
    <row r="180" spans="1:34" x14ac:dyDescent="0.3">
      <c r="A180" s="7" t="s">
        <v>863</v>
      </c>
      <c r="B180" s="7" t="s">
        <v>864</v>
      </c>
      <c r="C180" s="7" t="s">
        <v>55</v>
      </c>
      <c r="D180" s="7" t="s">
        <v>588</v>
      </c>
      <c r="E180" s="7" t="s">
        <v>603</v>
      </c>
      <c r="F180" s="7" t="s">
        <v>490</v>
      </c>
      <c r="G180" s="7" t="s">
        <v>491</v>
      </c>
      <c r="H180" s="7" t="s">
        <v>492</v>
      </c>
      <c r="I180" s="7">
        <v>8</v>
      </c>
      <c r="J180" s="7">
        <v>7</v>
      </c>
      <c r="K180" s="7">
        <v>2</v>
      </c>
      <c r="L180" s="7">
        <v>238</v>
      </c>
      <c r="M180" s="7">
        <v>50</v>
      </c>
      <c r="N180" s="7">
        <v>47.6</v>
      </c>
      <c r="O180" s="7">
        <v>143.96</v>
      </c>
      <c r="P180" s="7">
        <v>0</v>
      </c>
      <c r="Q180" s="7">
        <v>0</v>
      </c>
      <c r="R180" s="7">
        <v>30</v>
      </c>
      <c r="S180" s="7">
        <v>9</v>
      </c>
      <c r="T180" s="7">
        <v>0</v>
      </c>
      <c r="U180" s="7">
        <v>0</v>
      </c>
      <c r="V180" s="7" t="s">
        <v>493</v>
      </c>
      <c r="W180" s="7" t="s">
        <v>493</v>
      </c>
      <c r="X180" s="7" t="s">
        <v>493</v>
      </c>
      <c r="Y180" s="7" t="s">
        <v>493</v>
      </c>
      <c r="Z180" s="7">
        <v>0</v>
      </c>
      <c r="AA180" s="7">
        <v>0</v>
      </c>
      <c r="AB180" s="7">
        <v>2</v>
      </c>
      <c r="AC180" s="7">
        <v>0</v>
      </c>
      <c r="AD180" s="7" t="s">
        <v>46</v>
      </c>
      <c r="AE180" s="8" t="s">
        <v>486</v>
      </c>
      <c r="AF180" s="7" t="s">
        <v>43</v>
      </c>
      <c r="AG180" s="7" t="s">
        <v>476</v>
      </c>
      <c r="AH180" s="7">
        <v>10</v>
      </c>
    </row>
    <row r="181" spans="1:34" x14ac:dyDescent="0.3">
      <c r="A181" s="4" t="s">
        <v>865</v>
      </c>
      <c r="B181" s="4" t="s">
        <v>866</v>
      </c>
      <c r="C181" s="4" t="s">
        <v>37</v>
      </c>
      <c r="D181" s="4" t="s">
        <v>555</v>
      </c>
      <c r="E181" s="4" t="s">
        <v>483</v>
      </c>
      <c r="F181" s="4" t="s">
        <v>471</v>
      </c>
      <c r="G181" s="4" t="s">
        <v>472</v>
      </c>
      <c r="H181" s="4" t="s">
        <v>516</v>
      </c>
      <c r="I181" s="4">
        <v>11</v>
      </c>
      <c r="J181" s="4">
        <v>9</v>
      </c>
      <c r="K181" s="4">
        <v>1</v>
      </c>
      <c r="L181" s="4">
        <v>260</v>
      </c>
      <c r="M181" s="4">
        <v>5</v>
      </c>
      <c r="N181" s="4">
        <v>32.5</v>
      </c>
      <c r="O181" s="4">
        <v>116.16</v>
      </c>
      <c r="P181" s="4">
        <v>0</v>
      </c>
      <c r="Q181" s="4">
        <v>0</v>
      </c>
      <c r="R181" s="4">
        <v>21</v>
      </c>
      <c r="S181" s="4">
        <v>13</v>
      </c>
      <c r="T181" s="4">
        <v>2</v>
      </c>
      <c r="U181" s="4">
        <v>17</v>
      </c>
      <c r="V181" s="4">
        <v>23.84</v>
      </c>
      <c r="W181" s="4">
        <v>10.19</v>
      </c>
      <c r="X181" s="4">
        <v>19.34</v>
      </c>
      <c r="Y181" s="4" t="s">
        <v>517</v>
      </c>
      <c r="Z181" s="4">
        <v>0</v>
      </c>
      <c r="AA181" s="4">
        <v>35</v>
      </c>
      <c r="AB181" s="4">
        <v>9</v>
      </c>
      <c r="AC181" s="4">
        <v>0</v>
      </c>
      <c r="AD181" s="4" t="s">
        <v>28</v>
      </c>
      <c r="AE181" s="8" t="s">
        <v>486</v>
      </c>
      <c r="AF181" s="4" t="s">
        <v>72</v>
      </c>
      <c r="AG181" s="4" t="s">
        <v>476</v>
      </c>
      <c r="AH181" s="4">
        <v>0.2</v>
      </c>
    </row>
    <row r="182" spans="1:34" x14ac:dyDescent="0.3">
      <c r="A182" s="7" t="s">
        <v>867</v>
      </c>
      <c r="B182" s="7" t="s">
        <v>868</v>
      </c>
      <c r="C182" s="7" t="s">
        <v>47</v>
      </c>
      <c r="D182" s="7" t="s">
        <v>717</v>
      </c>
      <c r="E182" s="7" t="s">
        <v>483</v>
      </c>
      <c r="F182" s="7" t="s">
        <v>484</v>
      </c>
      <c r="G182" s="7" t="s">
        <v>472</v>
      </c>
      <c r="H182" s="7" t="s">
        <v>480</v>
      </c>
      <c r="I182" s="7">
        <v>14</v>
      </c>
      <c r="J182" s="7">
        <v>12</v>
      </c>
      <c r="K182" s="7">
        <v>0</v>
      </c>
      <c r="L182" s="7">
        <v>636</v>
      </c>
      <c r="M182" s="7">
        <v>88</v>
      </c>
      <c r="N182" s="7">
        <v>53</v>
      </c>
      <c r="O182" s="7">
        <v>183.11</v>
      </c>
      <c r="P182" s="7">
        <v>1</v>
      </c>
      <c r="Q182" s="7">
        <v>0</v>
      </c>
      <c r="R182" s="7">
        <v>54</v>
      </c>
      <c r="S182" s="7">
        <v>70</v>
      </c>
      <c r="T182" s="7">
        <v>1</v>
      </c>
      <c r="U182" s="7">
        <v>16</v>
      </c>
      <c r="V182" s="7">
        <v>22.19</v>
      </c>
      <c r="W182" s="7">
        <v>8.6999999999999993</v>
      </c>
      <c r="X182" s="7">
        <v>17.190000000000001</v>
      </c>
      <c r="Y182" s="7" t="s">
        <v>678</v>
      </c>
      <c r="Z182" s="7">
        <v>0</v>
      </c>
      <c r="AA182" s="7">
        <v>46.5</v>
      </c>
      <c r="AB182" s="7">
        <v>10</v>
      </c>
      <c r="AC182" s="7">
        <v>0</v>
      </c>
      <c r="AD182" s="7" t="s">
        <v>142</v>
      </c>
      <c r="AE182" s="3" t="s">
        <v>475</v>
      </c>
      <c r="AF182" s="7" t="s">
        <v>187</v>
      </c>
      <c r="AG182" s="7" t="s">
        <v>476</v>
      </c>
      <c r="AH182" s="7">
        <v>0.75</v>
      </c>
    </row>
    <row r="183" spans="1:34" x14ac:dyDescent="0.3">
      <c r="A183" s="4" t="s">
        <v>869</v>
      </c>
      <c r="B183" s="4" t="s">
        <v>870</v>
      </c>
      <c r="C183" s="4" t="s">
        <v>46</v>
      </c>
      <c r="D183" s="4" t="s">
        <v>622</v>
      </c>
      <c r="E183" s="4" t="s">
        <v>479</v>
      </c>
      <c r="F183" s="4" t="s">
        <v>490</v>
      </c>
      <c r="G183" s="4" t="s">
        <v>472</v>
      </c>
      <c r="H183" s="4" t="s">
        <v>492</v>
      </c>
      <c r="I183" s="4">
        <v>8</v>
      </c>
      <c r="J183" s="4">
        <v>8</v>
      </c>
      <c r="K183" s="4">
        <v>3</v>
      </c>
      <c r="L183" s="4">
        <v>170</v>
      </c>
      <c r="M183" s="4">
        <v>56</v>
      </c>
      <c r="N183" s="4">
        <v>34</v>
      </c>
      <c r="O183" s="4">
        <v>174.15</v>
      </c>
      <c r="P183" s="4">
        <v>0</v>
      </c>
      <c r="Q183" s="4">
        <v>0</v>
      </c>
      <c r="R183" s="4">
        <v>20</v>
      </c>
      <c r="S183" s="4">
        <v>20</v>
      </c>
      <c r="T183" s="4">
        <v>0</v>
      </c>
      <c r="U183" s="4">
        <v>0</v>
      </c>
      <c r="V183" s="4" t="s">
        <v>493</v>
      </c>
      <c r="W183" s="4" t="s">
        <v>493</v>
      </c>
      <c r="X183" s="4" t="s">
        <v>493</v>
      </c>
      <c r="Y183" s="4" t="s">
        <v>493</v>
      </c>
      <c r="Z183" s="4">
        <v>0</v>
      </c>
      <c r="AA183" s="4">
        <v>0</v>
      </c>
      <c r="AB183" s="4">
        <v>8</v>
      </c>
      <c r="AC183" s="4">
        <v>0</v>
      </c>
      <c r="AD183" s="4" t="s">
        <v>20</v>
      </c>
      <c r="AE183" s="3" t="s">
        <v>475</v>
      </c>
      <c r="AF183" s="4" t="s">
        <v>15</v>
      </c>
      <c r="AG183" s="4" t="s">
        <v>476</v>
      </c>
      <c r="AH183" s="4">
        <v>6</v>
      </c>
    </row>
    <row r="184" spans="1:34" x14ac:dyDescent="0.3">
      <c r="A184" s="7" t="s">
        <v>871</v>
      </c>
      <c r="B184" s="7" t="s">
        <v>872</v>
      </c>
      <c r="C184" s="7" t="s">
        <v>142</v>
      </c>
      <c r="D184" s="7" t="s">
        <v>684</v>
      </c>
      <c r="E184" s="7" t="s">
        <v>483</v>
      </c>
      <c r="F184" s="7" t="s">
        <v>484</v>
      </c>
      <c r="G184" s="7" t="s">
        <v>491</v>
      </c>
      <c r="H184" s="7" t="s">
        <v>556</v>
      </c>
      <c r="I184" s="7">
        <v>14</v>
      </c>
      <c r="J184" s="7">
        <v>13</v>
      </c>
      <c r="K184" s="7">
        <v>2</v>
      </c>
      <c r="L184" s="7">
        <v>494</v>
      </c>
      <c r="M184" s="7">
        <v>37</v>
      </c>
      <c r="N184" s="7">
        <v>44.91</v>
      </c>
      <c r="O184" s="7">
        <v>164.49</v>
      </c>
      <c r="P184" s="7">
        <v>0</v>
      </c>
      <c r="Q184" s="7">
        <v>0</v>
      </c>
      <c r="R184" s="7">
        <v>67</v>
      </c>
      <c r="S184" s="7">
        <v>25</v>
      </c>
      <c r="T184" s="7">
        <v>0</v>
      </c>
      <c r="U184" s="7">
        <v>8</v>
      </c>
      <c r="V184" s="7">
        <v>24.43</v>
      </c>
      <c r="W184" s="7">
        <v>9.48</v>
      </c>
      <c r="X184" s="7">
        <v>16.11</v>
      </c>
      <c r="Y184" s="7" t="s">
        <v>599</v>
      </c>
      <c r="Z184" s="7">
        <v>0</v>
      </c>
      <c r="AA184" s="7">
        <v>49.1</v>
      </c>
      <c r="AB184" s="7">
        <v>11</v>
      </c>
      <c r="AC184" s="7">
        <v>0</v>
      </c>
      <c r="AD184" s="7" t="s">
        <v>38</v>
      </c>
      <c r="AE184" s="8" t="s">
        <v>486</v>
      </c>
      <c r="AF184" s="7" t="s">
        <v>381</v>
      </c>
      <c r="AG184" s="7" t="s">
        <v>502</v>
      </c>
      <c r="AH184" s="7">
        <v>0.4</v>
      </c>
    </row>
    <row r="185" spans="1:34" x14ac:dyDescent="0.3">
      <c r="A185" s="4" t="s">
        <v>873</v>
      </c>
      <c r="B185" s="4" t="s">
        <v>874</v>
      </c>
      <c r="C185" s="4" t="s">
        <v>20</v>
      </c>
      <c r="D185" s="4" t="s">
        <v>523</v>
      </c>
      <c r="E185" s="4" t="s">
        <v>543</v>
      </c>
      <c r="F185" s="4" t="s">
        <v>490</v>
      </c>
      <c r="G185" s="4" t="s">
        <v>491</v>
      </c>
      <c r="H185" s="4" t="s">
        <v>492</v>
      </c>
      <c r="I185" s="4">
        <v>9</v>
      </c>
      <c r="J185" s="4">
        <v>9</v>
      </c>
      <c r="K185" s="4">
        <v>3</v>
      </c>
      <c r="L185" s="4">
        <v>173</v>
      </c>
      <c r="M185" s="4">
        <v>99</v>
      </c>
      <c r="N185" s="4">
        <v>28.83</v>
      </c>
      <c r="O185" s="4">
        <v>126.79</v>
      </c>
      <c r="P185" s="4">
        <v>0</v>
      </c>
      <c r="Q185" s="4">
        <v>0</v>
      </c>
      <c r="R185" s="4">
        <v>22</v>
      </c>
      <c r="S185" s="4">
        <v>19</v>
      </c>
      <c r="T185" s="4">
        <v>0</v>
      </c>
      <c r="U185" s="4">
        <v>0</v>
      </c>
      <c r="V185" s="4" t="s">
        <v>493</v>
      </c>
      <c r="W185" s="4" t="s">
        <v>493</v>
      </c>
      <c r="X185" s="4" t="s">
        <v>493</v>
      </c>
      <c r="Y185" s="4" t="s">
        <v>493</v>
      </c>
      <c r="Z185" s="4">
        <v>0</v>
      </c>
      <c r="AA185" s="4">
        <v>0</v>
      </c>
      <c r="AB185" s="4">
        <v>3</v>
      </c>
      <c r="AC185" s="4">
        <v>0</v>
      </c>
      <c r="AD185" s="4" t="s">
        <v>20</v>
      </c>
      <c r="AE185" s="3" t="s">
        <v>475</v>
      </c>
      <c r="AF185" s="4" t="s">
        <v>269</v>
      </c>
      <c r="AG185" s="4" t="s">
        <v>476</v>
      </c>
      <c r="AH185" s="4">
        <v>7.5</v>
      </c>
    </row>
    <row r="186" spans="1:34" x14ac:dyDescent="0.3">
      <c r="A186" s="7" t="s">
        <v>875</v>
      </c>
      <c r="B186" s="7" t="s">
        <v>876</v>
      </c>
      <c r="C186" s="7" t="s">
        <v>19</v>
      </c>
      <c r="D186" s="7" t="s">
        <v>469</v>
      </c>
      <c r="E186" s="7" t="s">
        <v>543</v>
      </c>
      <c r="F186" s="7" t="s">
        <v>471</v>
      </c>
      <c r="G186" s="7" t="s">
        <v>472</v>
      </c>
      <c r="H186" s="7" t="s">
        <v>500</v>
      </c>
      <c r="I186" s="7">
        <v>10</v>
      </c>
      <c r="J186" s="7">
        <v>9</v>
      </c>
      <c r="K186" s="7">
        <v>2</v>
      </c>
      <c r="L186" s="7">
        <v>128</v>
      </c>
      <c r="M186" s="7">
        <v>15</v>
      </c>
      <c r="N186" s="7">
        <v>18.29</v>
      </c>
      <c r="O186" s="7">
        <v>99.77</v>
      </c>
      <c r="P186" s="7">
        <v>0</v>
      </c>
      <c r="Q186" s="7">
        <v>0</v>
      </c>
      <c r="R186" s="7">
        <v>10</v>
      </c>
      <c r="S186" s="7">
        <v>6</v>
      </c>
      <c r="T186" s="7">
        <v>2</v>
      </c>
      <c r="U186" s="7">
        <v>12</v>
      </c>
      <c r="V186" s="7">
        <v>31.21</v>
      </c>
      <c r="W186" s="7">
        <v>7.38</v>
      </c>
      <c r="X186" s="7">
        <v>19.28</v>
      </c>
      <c r="Y186" s="7" t="s">
        <v>668</v>
      </c>
      <c r="Z186" s="7">
        <v>0</v>
      </c>
      <c r="AA186" s="7">
        <v>37.1</v>
      </c>
      <c r="AB186" s="7">
        <v>8</v>
      </c>
      <c r="AC186" s="7">
        <v>0</v>
      </c>
      <c r="AD186" s="7" t="s">
        <v>20</v>
      </c>
      <c r="AE186" s="3" t="s">
        <v>475</v>
      </c>
      <c r="AF186" s="7" t="s">
        <v>406</v>
      </c>
      <c r="AG186" s="7" t="s">
        <v>502</v>
      </c>
      <c r="AH186" s="7">
        <v>5</v>
      </c>
    </row>
    <row r="187" spans="1:34" x14ac:dyDescent="0.3">
      <c r="A187" s="4" t="s">
        <v>877</v>
      </c>
      <c r="B187" s="4" t="s">
        <v>878</v>
      </c>
      <c r="C187" s="4" t="s">
        <v>46</v>
      </c>
      <c r="D187" s="4" t="s">
        <v>622</v>
      </c>
      <c r="E187" s="4" t="s">
        <v>483</v>
      </c>
      <c r="F187" s="4" t="s">
        <v>484</v>
      </c>
      <c r="G187" s="4" t="s">
        <v>491</v>
      </c>
      <c r="H187" s="4" t="s">
        <v>516</v>
      </c>
      <c r="I187" s="4">
        <v>13</v>
      </c>
      <c r="J187" s="4">
        <v>13</v>
      </c>
      <c r="K187" s="4">
        <v>0</v>
      </c>
      <c r="L187" s="4">
        <v>687</v>
      </c>
      <c r="M187" s="4">
        <v>42</v>
      </c>
      <c r="N187" s="4">
        <v>52.85</v>
      </c>
      <c r="O187" s="4">
        <v>167.89</v>
      </c>
      <c r="P187" s="4">
        <v>1</v>
      </c>
      <c r="Q187" s="4">
        <v>0</v>
      </c>
      <c r="R187" s="4">
        <v>74</v>
      </c>
      <c r="S187" s="4">
        <v>38</v>
      </c>
      <c r="T187" s="4">
        <v>1</v>
      </c>
      <c r="U187" s="4">
        <v>22</v>
      </c>
      <c r="V187" s="4">
        <v>15.25</v>
      </c>
      <c r="W187" s="4">
        <v>7.43</v>
      </c>
      <c r="X187" s="4">
        <v>12.26</v>
      </c>
      <c r="Y187" s="4" t="s">
        <v>637</v>
      </c>
      <c r="Z187" s="4">
        <v>0</v>
      </c>
      <c r="AA187" s="4">
        <v>43.8</v>
      </c>
      <c r="AB187" s="4">
        <v>3</v>
      </c>
      <c r="AC187" s="4">
        <v>0</v>
      </c>
      <c r="AD187" s="4" t="s">
        <v>55</v>
      </c>
      <c r="AE187" s="8" t="s">
        <v>486</v>
      </c>
      <c r="AF187" s="4" t="s">
        <v>165</v>
      </c>
      <c r="AG187" s="4" t="s">
        <v>476</v>
      </c>
      <c r="AH187" s="4">
        <v>6</v>
      </c>
    </row>
    <row r="188" spans="1:34" x14ac:dyDescent="0.3">
      <c r="A188" s="7" t="s">
        <v>879</v>
      </c>
      <c r="B188" s="7" t="s">
        <v>880</v>
      </c>
      <c r="C188" s="7" t="s">
        <v>38</v>
      </c>
      <c r="D188" s="7" t="s">
        <v>654</v>
      </c>
      <c r="E188" s="7" t="s">
        <v>470</v>
      </c>
      <c r="F188" s="7" t="s">
        <v>484</v>
      </c>
      <c r="G188" s="7" t="s">
        <v>491</v>
      </c>
      <c r="H188" s="7" t="s">
        <v>516</v>
      </c>
      <c r="I188" s="7">
        <v>10</v>
      </c>
      <c r="J188" s="7">
        <v>10</v>
      </c>
      <c r="K188" s="7">
        <v>3</v>
      </c>
      <c r="L188" s="7">
        <v>207</v>
      </c>
      <c r="M188" s="7">
        <v>46</v>
      </c>
      <c r="N188" s="7">
        <v>29.57</v>
      </c>
      <c r="O188" s="7">
        <v>155.16999999999999</v>
      </c>
      <c r="P188" s="7">
        <v>0</v>
      </c>
      <c r="Q188" s="7">
        <v>0</v>
      </c>
      <c r="R188" s="7">
        <v>22</v>
      </c>
      <c r="S188" s="7">
        <v>11</v>
      </c>
      <c r="T188" s="7">
        <v>0</v>
      </c>
      <c r="U188" s="7">
        <v>2</v>
      </c>
      <c r="V188" s="7">
        <v>17.36</v>
      </c>
      <c r="W188" s="7">
        <v>9.74</v>
      </c>
      <c r="X188" s="7">
        <v>18.89</v>
      </c>
      <c r="Y188" s="7" t="s">
        <v>595</v>
      </c>
      <c r="Z188" s="7">
        <v>0</v>
      </c>
      <c r="AA188" s="7">
        <v>25.7</v>
      </c>
      <c r="AB188" s="7">
        <v>6</v>
      </c>
      <c r="AC188" s="7">
        <v>0</v>
      </c>
      <c r="AD188" s="7" t="s">
        <v>47</v>
      </c>
      <c r="AE188" s="3" t="s">
        <v>475</v>
      </c>
      <c r="AF188" s="7" t="s">
        <v>181</v>
      </c>
      <c r="AG188" s="7" t="s">
        <v>476</v>
      </c>
      <c r="AH188" s="7">
        <v>0.4</v>
      </c>
    </row>
    <row r="189" spans="1:34" x14ac:dyDescent="0.3">
      <c r="A189" s="4" t="s">
        <v>881</v>
      </c>
      <c r="B189" s="4" t="s">
        <v>882</v>
      </c>
      <c r="C189" s="4" t="s">
        <v>81</v>
      </c>
      <c r="D189" s="4" t="s">
        <v>750</v>
      </c>
      <c r="E189" s="4" t="s">
        <v>543</v>
      </c>
      <c r="F189" s="4" t="s">
        <v>484</v>
      </c>
      <c r="G189" s="4" t="s">
        <v>472</v>
      </c>
      <c r="H189" s="4" t="s">
        <v>500</v>
      </c>
      <c r="I189" s="4">
        <v>10</v>
      </c>
      <c r="J189" s="4">
        <v>10</v>
      </c>
      <c r="K189" s="4">
        <v>3</v>
      </c>
      <c r="L189" s="4">
        <v>325</v>
      </c>
      <c r="M189" s="4">
        <v>40</v>
      </c>
      <c r="N189" s="4">
        <v>46.43</v>
      </c>
      <c r="O189" s="4">
        <v>111.14</v>
      </c>
      <c r="P189" s="4">
        <v>0</v>
      </c>
      <c r="Q189" s="4">
        <v>0</v>
      </c>
      <c r="R189" s="4">
        <v>44</v>
      </c>
      <c r="S189" s="4">
        <v>22</v>
      </c>
      <c r="T189" s="4">
        <v>0</v>
      </c>
      <c r="U189" s="4">
        <v>16</v>
      </c>
      <c r="V189" s="4">
        <v>24.26</v>
      </c>
      <c r="W189" s="4">
        <v>9.39</v>
      </c>
      <c r="X189" s="4">
        <v>10.86</v>
      </c>
      <c r="Y189" s="4" t="s">
        <v>616</v>
      </c>
      <c r="Z189" s="4">
        <v>0</v>
      </c>
      <c r="AA189" s="4">
        <v>37.9</v>
      </c>
      <c r="AB189" s="4">
        <v>7</v>
      </c>
      <c r="AC189" s="4">
        <v>0</v>
      </c>
      <c r="AD189" s="4" t="s">
        <v>28</v>
      </c>
      <c r="AE189" s="8" t="s">
        <v>486</v>
      </c>
      <c r="AF189" s="4" t="s">
        <v>52</v>
      </c>
      <c r="AG189" s="4" t="s">
        <v>476</v>
      </c>
      <c r="AH189" s="4">
        <v>4</v>
      </c>
    </row>
    <row r="190" spans="1:34" x14ac:dyDescent="0.3">
      <c r="A190" s="7" t="s">
        <v>883</v>
      </c>
      <c r="B190" s="7" t="s">
        <v>884</v>
      </c>
      <c r="C190" s="7" t="s">
        <v>142</v>
      </c>
      <c r="D190" s="7" t="s">
        <v>684</v>
      </c>
      <c r="E190" s="7" t="s">
        <v>483</v>
      </c>
      <c r="F190" s="7" t="s">
        <v>471</v>
      </c>
      <c r="G190" s="7" t="s">
        <v>472</v>
      </c>
      <c r="H190" s="7" t="s">
        <v>514</v>
      </c>
      <c r="I190" s="7">
        <v>8</v>
      </c>
      <c r="J190" s="7">
        <v>7</v>
      </c>
      <c r="K190" s="7">
        <v>3</v>
      </c>
      <c r="L190" s="7">
        <v>80</v>
      </c>
      <c r="M190" s="7">
        <v>18</v>
      </c>
      <c r="N190" s="7">
        <v>20</v>
      </c>
      <c r="O190" s="7">
        <v>104.74</v>
      </c>
      <c r="P190" s="7">
        <v>0</v>
      </c>
      <c r="Q190" s="7">
        <v>0</v>
      </c>
      <c r="R190" s="7">
        <v>6</v>
      </c>
      <c r="S190" s="7">
        <v>4</v>
      </c>
      <c r="T190" s="7">
        <v>2</v>
      </c>
      <c r="U190" s="7">
        <v>7</v>
      </c>
      <c r="V190" s="7">
        <v>31.15</v>
      </c>
      <c r="W190" s="7">
        <v>10.06</v>
      </c>
      <c r="X190" s="7">
        <v>15.87</v>
      </c>
      <c r="Y190" s="7" t="s">
        <v>583</v>
      </c>
      <c r="Z190" s="7">
        <v>0</v>
      </c>
      <c r="AA190" s="7">
        <v>29.7</v>
      </c>
      <c r="AB190" s="7">
        <v>3</v>
      </c>
      <c r="AC190" s="7">
        <v>0</v>
      </c>
      <c r="AD190" s="7" t="s">
        <v>142</v>
      </c>
      <c r="AE190" s="3" t="s">
        <v>475</v>
      </c>
      <c r="AF190" s="7" t="s">
        <v>328</v>
      </c>
      <c r="AG190" s="7" t="s">
        <v>476</v>
      </c>
      <c r="AH190" s="7">
        <v>1</v>
      </c>
    </row>
    <row r="191" spans="1:34" x14ac:dyDescent="0.3">
      <c r="A191" s="4" t="s">
        <v>885</v>
      </c>
      <c r="B191" s="4" t="s">
        <v>886</v>
      </c>
      <c r="C191" s="4" t="s">
        <v>46</v>
      </c>
      <c r="D191" s="4" t="s">
        <v>622</v>
      </c>
      <c r="E191" s="4" t="s">
        <v>543</v>
      </c>
      <c r="F191" s="4" t="s">
        <v>490</v>
      </c>
      <c r="G191" s="4" t="s">
        <v>491</v>
      </c>
      <c r="H191" s="4" t="s">
        <v>492</v>
      </c>
      <c r="I191" s="4">
        <v>9</v>
      </c>
      <c r="J191" s="4">
        <v>9</v>
      </c>
      <c r="K191" s="4">
        <v>3</v>
      </c>
      <c r="L191" s="4">
        <v>173</v>
      </c>
      <c r="M191" s="4">
        <v>99</v>
      </c>
      <c r="N191" s="4">
        <v>28.83</v>
      </c>
      <c r="O191" s="4">
        <v>126.79</v>
      </c>
      <c r="P191" s="4">
        <v>0</v>
      </c>
      <c r="Q191" s="4">
        <v>0</v>
      </c>
      <c r="R191" s="4">
        <v>22</v>
      </c>
      <c r="S191" s="4">
        <v>19</v>
      </c>
      <c r="T191" s="4">
        <v>0</v>
      </c>
      <c r="U191" s="4">
        <v>0</v>
      </c>
      <c r="V191" s="4" t="s">
        <v>493</v>
      </c>
      <c r="W191" s="4" t="s">
        <v>493</v>
      </c>
      <c r="X191" s="4" t="s">
        <v>493</v>
      </c>
      <c r="Y191" s="4" t="s">
        <v>493</v>
      </c>
      <c r="Z191" s="4">
        <v>0</v>
      </c>
      <c r="AA191" s="4">
        <v>0</v>
      </c>
      <c r="AB191" s="4">
        <v>3</v>
      </c>
      <c r="AC191" s="4">
        <v>0</v>
      </c>
      <c r="AD191" s="4" t="s">
        <v>20</v>
      </c>
      <c r="AE191" s="3" t="s">
        <v>475</v>
      </c>
      <c r="AF191" s="4" t="s">
        <v>269</v>
      </c>
      <c r="AG191" s="4" t="s">
        <v>476</v>
      </c>
      <c r="AH191" s="4">
        <v>7.5</v>
      </c>
    </row>
    <row r="192" spans="1:34" x14ac:dyDescent="0.3">
      <c r="A192" s="7" t="s">
        <v>887</v>
      </c>
      <c r="B192" s="7" t="s">
        <v>888</v>
      </c>
      <c r="C192" s="7" t="s">
        <v>38</v>
      </c>
      <c r="D192" s="7" t="s">
        <v>654</v>
      </c>
      <c r="E192" s="7" t="s">
        <v>483</v>
      </c>
      <c r="F192" s="7" t="s">
        <v>471</v>
      </c>
      <c r="G192" s="7" t="s">
        <v>491</v>
      </c>
      <c r="H192" s="7" t="s">
        <v>514</v>
      </c>
      <c r="I192" s="7">
        <v>13</v>
      </c>
      <c r="J192" s="7">
        <v>12</v>
      </c>
      <c r="K192" s="7">
        <v>1</v>
      </c>
      <c r="L192" s="7">
        <v>100</v>
      </c>
      <c r="M192" s="7">
        <v>17</v>
      </c>
      <c r="N192" s="7">
        <v>9.09</v>
      </c>
      <c r="O192" s="7">
        <v>124.13</v>
      </c>
      <c r="P192" s="7">
        <v>0</v>
      </c>
      <c r="Q192" s="7">
        <v>0</v>
      </c>
      <c r="R192" s="7">
        <v>8</v>
      </c>
      <c r="S192" s="7">
        <v>5</v>
      </c>
      <c r="T192" s="7">
        <v>0</v>
      </c>
      <c r="U192" s="7">
        <v>31</v>
      </c>
      <c r="V192" s="7">
        <v>26.69</v>
      </c>
      <c r="W192" s="7">
        <v>7.88</v>
      </c>
      <c r="X192" s="7">
        <v>19.760000000000002</v>
      </c>
      <c r="Y192" s="7" t="s">
        <v>585</v>
      </c>
      <c r="Z192" s="7">
        <v>0</v>
      </c>
      <c r="AA192" s="7">
        <v>37.299999999999997</v>
      </c>
      <c r="AB192" s="7">
        <v>11</v>
      </c>
      <c r="AC192" s="7">
        <v>0</v>
      </c>
      <c r="AD192" s="7" t="s">
        <v>142</v>
      </c>
      <c r="AE192" s="3" t="s">
        <v>475</v>
      </c>
      <c r="AF192" s="7" t="s">
        <v>274</v>
      </c>
      <c r="AG192" s="7" t="s">
        <v>502</v>
      </c>
      <c r="AH192" s="7">
        <v>21</v>
      </c>
    </row>
    <row r="193" spans="1:34" x14ac:dyDescent="0.3">
      <c r="A193" s="4" t="s">
        <v>889</v>
      </c>
      <c r="B193" s="4" t="s">
        <v>890</v>
      </c>
      <c r="C193" s="4" t="s">
        <v>46</v>
      </c>
      <c r="D193" s="4" t="s">
        <v>622</v>
      </c>
      <c r="E193" s="4" t="s">
        <v>543</v>
      </c>
      <c r="F193" s="4" t="s">
        <v>490</v>
      </c>
      <c r="G193" s="4" t="s">
        <v>491</v>
      </c>
      <c r="H193" s="4" t="s">
        <v>492</v>
      </c>
      <c r="I193" s="4">
        <v>9</v>
      </c>
      <c r="J193" s="4">
        <v>9</v>
      </c>
      <c r="K193" s="4">
        <v>3</v>
      </c>
      <c r="L193" s="4">
        <v>173</v>
      </c>
      <c r="M193" s="4">
        <v>99</v>
      </c>
      <c r="N193" s="4">
        <v>28.83</v>
      </c>
      <c r="O193" s="4">
        <v>126.79</v>
      </c>
      <c r="P193" s="4">
        <v>0</v>
      </c>
      <c r="Q193" s="4">
        <v>0</v>
      </c>
      <c r="R193" s="4">
        <v>22</v>
      </c>
      <c r="S193" s="4">
        <v>19</v>
      </c>
      <c r="T193" s="4">
        <v>0</v>
      </c>
      <c r="U193" s="4">
        <v>0</v>
      </c>
      <c r="V193" s="4" t="s">
        <v>493</v>
      </c>
      <c r="W193" s="4" t="s">
        <v>493</v>
      </c>
      <c r="X193" s="4" t="s">
        <v>493</v>
      </c>
      <c r="Y193" s="4" t="s">
        <v>493</v>
      </c>
      <c r="Z193" s="4">
        <v>0</v>
      </c>
      <c r="AA193" s="4">
        <v>0</v>
      </c>
      <c r="AB193" s="4">
        <v>3</v>
      </c>
      <c r="AC193" s="4">
        <v>0</v>
      </c>
      <c r="AD193" s="4" t="s">
        <v>20</v>
      </c>
      <c r="AE193" s="3" t="s">
        <v>475</v>
      </c>
      <c r="AF193" s="4" t="s">
        <v>269</v>
      </c>
      <c r="AG193" s="4" t="s">
        <v>476</v>
      </c>
      <c r="AH193" s="4">
        <v>7.5</v>
      </c>
    </row>
    <row r="194" spans="1:34" x14ac:dyDescent="0.3">
      <c r="A194" s="7" t="s">
        <v>891</v>
      </c>
      <c r="B194" s="7" t="s">
        <v>892</v>
      </c>
      <c r="C194" s="7" t="s">
        <v>20</v>
      </c>
      <c r="D194" s="7" t="s">
        <v>523</v>
      </c>
      <c r="E194" s="7" t="s">
        <v>597</v>
      </c>
      <c r="F194" s="7" t="s">
        <v>471</v>
      </c>
      <c r="G194" s="7" t="s">
        <v>491</v>
      </c>
      <c r="H194" s="7" t="s">
        <v>500</v>
      </c>
      <c r="I194" s="7">
        <v>12</v>
      </c>
      <c r="J194" s="7">
        <v>10</v>
      </c>
      <c r="K194" s="7">
        <v>1</v>
      </c>
      <c r="L194" s="7">
        <v>95</v>
      </c>
      <c r="M194" s="7">
        <v>17</v>
      </c>
      <c r="N194" s="7">
        <v>10.56</v>
      </c>
      <c r="O194" s="7">
        <v>93.33</v>
      </c>
      <c r="P194" s="7">
        <v>0</v>
      </c>
      <c r="Q194" s="7">
        <v>0</v>
      </c>
      <c r="R194" s="7">
        <v>7</v>
      </c>
      <c r="S194" s="7">
        <v>4</v>
      </c>
      <c r="T194" s="7">
        <v>2</v>
      </c>
      <c r="U194" s="7">
        <v>6</v>
      </c>
      <c r="V194" s="7">
        <v>32.340000000000003</v>
      </c>
      <c r="W194" s="7">
        <v>9.19</v>
      </c>
      <c r="X194" s="7">
        <v>18.239999999999998</v>
      </c>
      <c r="Y194" s="7" t="s">
        <v>746</v>
      </c>
      <c r="Z194" s="7">
        <v>0</v>
      </c>
      <c r="AA194" s="7">
        <v>41.7</v>
      </c>
      <c r="AB194" s="7">
        <v>9</v>
      </c>
      <c r="AC194" s="7">
        <v>0</v>
      </c>
      <c r="AD194" s="7" t="s">
        <v>28</v>
      </c>
      <c r="AE194" s="3" t="s">
        <v>475</v>
      </c>
      <c r="AF194" s="7" t="s">
        <v>207</v>
      </c>
      <c r="AG194" s="7" t="s">
        <v>476</v>
      </c>
      <c r="AH194" s="7">
        <v>18</v>
      </c>
    </row>
    <row r="195" spans="1:34" x14ac:dyDescent="0.3">
      <c r="A195" s="4" t="s">
        <v>893</v>
      </c>
      <c r="B195" s="4" t="s">
        <v>894</v>
      </c>
      <c r="C195" s="4" t="s">
        <v>38</v>
      </c>
      <c r="D195" s="4" t="s">
        <v>654</v>
      </c>
      <c r="E195" s="4" t="s">
        <v>483</v>
      </c>
      <c r="F195" s="4" t="s">
        <v>471</v>
      </c>
      <c r="G195" s="4" t="s">
        <v>472</v>
      </c>
      <c r="H195" s="4" t="s">
        <v>514</v>
      </c>
      <c r="I195" s="4">
        <v>11</v>
      </c>
      <c r="J195" s="4">
        <v>11</v>
      </c>
      <c r="K195" s="4">
        <v>0</v>
      </c>
      <c r="L195" s="4">
        <v>36</v>
      </c>
      <c r="M195" s="4">
        <v>19</v>
      </c>
      <c r="N195" s="4">
        <v>3.27</v>
      </c>
      <c r="O195" s="4">
        <v>122.14</v>
      </c>
      <c r="P195" s="4">
        <v>0</v>
      </c>
      <c r="Q195" s="4">
        <v>0</v>
      </c>
      <c r="R195" s="4">
        <v>3</v>
      </c>
      <c r="S195" s="4">
        <v>1</v>
      </c>
      <c r="T195" s="4">
        <v>0</v>
      </c>
      <c r="U195" s="4">
        <v>0</v>
      </c>
      <c r="V195" s="4">
        <v>24.33</v>
      </c>
      <c r="W195" s="4">
        <v>7.9</v>
      </c>
      <c r="X195" s="4">
        <v>17.16</v>
      </c>
      <c r="Y195" s="4" t="s">
        <v>701</v>
      </c>
      <c r="Z195" s="4">
        <v>0</v>
      </c>
      <c r="AA195" s="4">
        <v>40.9</v>
      </c>
      <c r="AB195" s="4">
        <v>2</v>
      </c>
      <c r="AC195" s="4">
        <v>0</v>
      </c>
      <c r="AD195" s="4" t="s">
        <v>46</v>
      </c>
      <c r="AE195" s="3" t="s">
        <v>475</v>
      </c>
      <c r="AF195" s="4" t="s">
        <v>279</v>
      </c>
      <c r="AG195" s="4" t="s">
        <v>476</v>
      </c>
      <c r="AH195" s="4">
        <v>21</v>
      </c>
    </row>
    <row r="196" spans="1:34" x14ac:dyDescent="0.3">
      <c r="A196" s="7" t="s">
        <v>895</v>
      </c>
      <c r="B196" s="7" t="s">
        <v>896</v>
      </c>
      <c r="C196" s="7" t="s">
        <v>47</v>
      </c>
      <c r="D196" s="7" t="s">
        <v>717</v>
      </c>
      <c r="E196" s="7" t="s">
        <v>483</v>
      </c>
      <c r="F196" s="7" t="s">
        <v>490</v>
      </c>
      <c r="G196" s="7" t="s">
        <v>472</v>
      </c>
      <c r="H196" s="7" t="s">
        <v>492</v>
      </c>
      <c r="I196" s="7">
        <v>8</v>
      </c>
      <c r="J196" s="7">
        <v>7</v>
      </c>
      <c r="K196" s="7">
        <v>0</v>
      </c>
      <c r="L196" s="7">
        <v>381</v>
      </c>
      <c r="M196" s="7">
        <v>108</v>
      </c>
      <c r="N196" s="7">
        <v>54.43</v>
      </c>
      <c r="O196" s="7">
        <v>111.89</v>
      </c>
      <c r="P196" s="7">
        <v>0</v>
      </c>
      <c r="Q196" s="7">
        <v>0</v>
      </c>
      <c r="R196" s="7">
        <v>38</v>
      </c>
      <c r="S196" s="7">
        <v>40</v>
      </c>
      <c r="T196" s="7">
        <v>0</v>
      </c>
      <c r="U196" s="7">
        <v>0</v>
      </c>
      <c r="V196" s="7" t="s">
        <v>493</v>
      </c>
      <c r="W196" s="7" t="s">
        <v>493</v>
      </c>
      <c r="X196" s="7" t="s">
        <v>493</v>
      </c>
      <c r="Y196" s="7" t="s">
        <v>493</v>
      </c>
      <c r="Z196" s="7">
        <v>0</v>
      </c>
      <c r="AA196" s="7">
        <v>0</v>
      </c>
      <c r="AB196" s="7">
        <v>2</v>
      </c>
      <c r="AC196" s="7">
        <v>0</v>
      </c>
      <c r="AD196" s="7" t="s">
        <v>55</v>
      </c>
      <c r="AE196" s="8" t="s">
        <v>486</v>
      </c>
      <c r="AF196" s="7" t="s">
        <v>176</v>
      </c>
      <c r="AG196" s="7" t="s">
        <v>476</v>
      </c>
      <c r="AH196" s="7">
        <v>3</v>
      </c>
    </row>
    <row r="197" spans="1:34" x14ac:dyDescent="0.3">
      <c r="A197" s="4" t="s">
        <v>897</v>
      </c>
      <c r="B197" s="4" t="s">
        <v>898</v>
      </c>
      <c r="C197" s="4" t="s">
        <v>81</v>
      </c>
      <c r="D197" s="4" t="s">
        <v>750</v>
      </c>
      <c r="E197" s="4" t="s">
        <v>483</v>
      </c>
      <c r="F197" s="4" t="s">
        <v>471</v>
      </c>
      <c r="G197" s="4" t="s">
        <v>491</v>
      </c>
      <c r="H197" s="4" t="s">
        <v>514</v>
      </c>
      <c r="I197" s="4">
        <v>13</v>
      </c>
      <c r="J197" s="4">
        <v>12</v>
      </c>
      <c r="K197" s="4">
        <v>1</v>
      </c>
      <c r="L197" s="4">
        <v>100</v>
      </c>
      <c r="M197" s="4">
        <v>17</v>
      </c>
      <c r="N197" s="4">
        <v>9.09</v>
      </c>
      <c r="O197" s="4">
        <v>124.13</v>
      </c>
      <c r="P197" s="4">
        <v>0</v>
      </c>
      <c r="Q197" s="4">
        <v>0</v>
      </c>
      <c r="R197" s="4">
        <v>8</v>
      </c>
      <c r="S197" s="4">
        <v>5</v>
      </c>
      <c r="T197" s="4">
        <v>0</v>
      </c>
      <c r="U197" s="4">
        <v>31</v>
      </c>
      <c r="V197" s="4">
        <v>26.69</v>
      </c>
      <c r="W197" s="4">
        <v>7.88</v>
      </c>
      <c r="X197" s="4">
        <v>19.760000000000002</v>
      </c>
      <c r="Y197" s="4" t="s">
        <v>585</v>
      </c>
      <c r="Z197" s="4">
        <v>0</v>
      </c>
      <c r="AA197" s="4">
        <v>37.299999999999997</v>
      </c>
      <c r="AB197" s="4">
        <v>11</v>
      </c>
      <c r="AC197" s="4">
        <v>0</v>
      </c>
      <c r="AD197" s="4" t="s">
        <v>142</v>
      </c>
      <c r="AE197" s="3" t="s">
        <v>475</v>
      </c>
      <c r="AF197" s="4" t="s">
        <v>274</v>
      </c>
      <c r="AG197" s="4" t="s">
        <v>502</v>
      </c>
      <c r="AH197" s="4">
        <v>21</v>
      </c>
    </row>
    <row r="198" spans="1:34" x14ac:dyDescent="0.3">
      <c r="A198" s="7" t="s">
        <v>899</v>
      </c>
      <c r="B198" s="7" t="s">
        <v>900</v>
      </c>
      <c r="C198" s="7" t="s">
        <v>20</v>
      </c>
      <c r="D198" s="7" t="s">
        <v>523</v>
      </c>
      <c r="E198" s="7" t="s">
        <v>483</v>
      </c>
      <c r="F198" s="7" t="s">
        <v>490</v>
      </c>
      <c r="G198" s="7" t="s">
        <v>491</v>
      </c>
      <c r="H198" s="7" t="s">
        <v>492</v>
      </c>
      <c r="I198" s="7">
        <v>12</v>
      </c>
      <c r="J198" s="7">
        <v>10</v>
      </c>
      <c r="K198" s="7">
        <v>1</v>
      </c>
      <c r="L198" s="7">
        <v>329</v>
      </c>
      <c r="M198" s="7">
        <v>56</v>
      </c>
      <c r="N198" s="7">
        <v>36.56</v>
      </c>
      <c r="O198" s="7">
        <v>170.2</v>
      </c>
      <c r="P198" s="7">
        <v>0</v>
      </c>
      <c r="Q198" s="7">
        <v>0</v>
      </c>
      <c r="R198" s="7">
        <v>27</v>
      </c>
      <c r="S198" s="7">
        <v>20</v>
      </c>
      <c r="T198" s="7">
        <v>0</v>
      </c>
      <c r="U198" s="7">
        <v>0</v>
      </c>
      <c r="V198" s="7" t="s">
        <v>493</v>
      </c>
      <c r="W198" s="7" t="s">
        <v>493</v>
      </c>
      <c r="X198" s="7" t="s">
        <v>493</v>
      </c>
      <c r="Y198" s="7" t="s">
        <v>493</v>
      </c>
      <c r="Z198" s="7">
        <v>0</v>
      </c>
      <c r="AA198" s="7">
        <v>0</v>
      </c>
      <c r="AB198" s="7">
        <v>6</v>
      </c>
      <c r="AC198" s="7">
        <v>0</v>
      </c>
      <c r="AD198" s="7" t="s">
        <v>20</v>
      </c>
      <c r="AE198" s="8" t="s">
        <v>486</v>
      </c>
      <c r="AF198" s="7" t="s">
        <v>427</v>
      </c>
      <c r="AG198" s="7" t="s">
        <v>476</v>
      </c>
      <c r="AH198" s="7">
        <v>4</v>
      </c>
    </row>
    <row r="199" spans="1:34" x14ac:dyDescent="0.3">
      <c r="A199" s="4" t="s">
        <v>901</v>
      </c>
      <c r="B199" s="4" t="s">
        <v>902</v>
      </c>
      <c r="C199" s="4" t="s">
        <v>28</v>
      </c>
      <c r="D199" s="4" t="s">
        <v>779</v>
      </c>
      <c r="E199" s="4" t="s">
        <v>489</v>
      </c>
      <c r="F199" s="4" t="s">
        <v>490</v>
      </c>
      <c r="G199" s="4" t="s">
        <v>472</v>
      </c>
      <c r="H199" s="4" t="s">
        <v>492</v>
      </c>
      <c r="I199" s="4">
        <v>13</v>
      </c>
      <c r="J199" s="4">
        <v>12</v>
      </c>
      <c r="K199" s="4">
        <v>3</v>
      </c>
      <c r="L199" s="4">
        <v>299</v>
      </c>
      <c r="M199" s="4">
        <v>45</v>
      </c>
      <c r="N199" s="4">
        <v>33.22</v>
      </c>
      <c r="O199" s="4">
        <v>183.16</v>
      </c>
      <c r="P199" s="4">
        <v>0</v>
      </c>
      <c r="Q199" s="4">
        <v>0</v>
      </c>
      <c r="R199" s="4">
        <v>32</v>
      </c>
      <c r="S199" s="4">
        <v>27</v>
      </c>
      <c r="T199" s="4">
        <v>1</v>
      </c>
      <c r="U199" s="4">
        <v>0</v>
      </c>
      <c r="V199" s="4" t="s">
        <v>493</v>
      </c>
      <c r="W199" s="4" t="s">
        <v>493</v>
      </c>
      <c r="X199" s="4" t="s">
        <v>493</v>
      </c>
      <c r="Y199" s="4" t="s">
        <v>493</v>
      </c>
      <c r="Z199" s="4">
        <v>0</v>
      </c>
      <c r="AA199" s="4">
        <v>0</v>
      </c>
      <c r="AB199" s="4">
        <v>7</v>
      </c>
      <c r="AC199" s="4">
        <v>0</v>
      </c>
      <c r="AD199" s="4" t="s">
        <v>55</v>
      </c>
      <c r="AE199" s="8" t="s">
        <v>486</v>
      </c>
      <c r="AF199" s="4" t="s">
        <v>181</v>
      </c>
      <c r="AG199" s="4" t="s">
        <v>476</v>
      </c>
      <c r="AH199" s="4">
        <v>0.5</v>
      </c>
    </row>
    <row r="200" spans="1:34" x14ac:dyDescent="0.3">
      <c r="A200" s="7" t="s">
        <v>903</v>
      </c>
      <c r="B200" s="7" t="s">
        <v>904</v>
      </c>
      <c r="C200" s="7" t="s">
        <v>37</v>
      </c>
      <c r="D200" s="7" t="s">
        <v>555</v>
      </c>
      <c r="E200" s="7" t="s">
        <v>483</v>
      </c>
      <c r="F200" s="7" t="s">
        <v>484</v>
      </c>
      <c r="G200" s="7" t="s">
        <v>491</v>
      </c>
      <c r="H200" s="7" t="s">
        <v>473</v>
      </c>
      <c r="I200" s="7">
        <v>10</v>
      </c>
      <c r="J200" s="7">
        <v>9</v>
      </c>
      <c r="K200" s="7">
        <v>0</v>
      </c>
      <c r="L200" s="7">
        <v>355</v>
      </c>
      <c r="M200" s="7">
        <v>40</v>
      </c>
      <c r="N200" s="7">
        <v>39.44</v>
      </c>
      <c r="O200" s="7">
        <v>126.55</v>
      </c>
      <c r="P200" s="7">
        <v>0</v>
      </c>
      <c r="Q200" s="7">
        <v>0</v>
      </c>
      <c r="R200" s="7">
        <v>38</v>
      </c>
      <c r="S200" s="7">
        <v>39</v>
      </c>
      <c r="T200" s="7">
        <v>0</v>
      </c>
      <c r="U200" s="7">
        <v>14</v>
      </c>
      <c r="V200" s="7">
        <v>16.98</v>
      </c>
      <c r="W200" s="7">
        <v>7.04</v>
      </c>
      <c r="X200" s="7">
        <v>10.07</v>
      </c>
      <c r="Y200" s="7" t="s">
        <v>576</v>
      </c>
      <c r="Z200" s="7">
        <v>0</v>
      </c>
      <c r="AA200" s="7">
        <v>30.6</v>
      </c>
      <c r="AB200" s="7">
        <v>2</v>
      </c>
      <c r="AC200" s="7">
        <v>0</v>
      </c>
      <c r="AD200" s="7" t="s">
        <v>38</v>
      </c>
      <c r="AE200" s="3" t="s">
        <v>475</v>
      </c>
      <c r="AF200" s="7" t="s">
        <v>34</v>
      </c>
      <c r="AG200" s="7" t="s">
        <v>476</v>
      </c>
      <c r="AH200" s="7">
        <v>0.75</v>
      </c>
    </row>
    <row r="201" spans="1:34" x14ac:dyDescent="0.3">
      <c r="A201" s="4" t="s">
        <v>905</v>
      </c>
      <c r="B201" s="4" t="s">
        <v>906</v>
      </c>
      <c r="C201" s="4" t="s">
        <v>47</v>
      </c>
      <c r="D201" s="4" t="s">
        <v>717</v>
      </c>
      <c r="E201" s="4" t="s">
        <v>483</v>
      </c>
      <c r="F201" s="4" t="s">
        <v>490</v>
      </c>
      <c r="G201" s="4" t="s">
        <v>491</v>
      </c>
      <c r="H201" s="4" t="s">
        <v>492</v>
      </c>
      <c r="I201" s="4">
        <v>8</v>
      </c>
      <c r="J201" s="4">
        <v>8</v>
      </c>
      <c r="K201" s="4">
        <v>1</v>
      </c>
      <c r="L201" s="4">
        <v>320</v>
      </c>
      <c r="M201" s="4">
        <v>41</v>
      </c>
      <c r="N201" s="4">
        <v>45.71</v>
      </c>
      <c r="O201" s="4">
        <v>136.47999999999999</v>
      </c>
      <c r="P201" s="4">
        <v>0</v>
      </c>
      <c r="Q201" s="4">
        <v>0</v>
      </c>
      <c r="R201" s="4">
        <v>37</v>
      </c>
      <c r="S201" s="4">
        <v>23</v>
      </c>
      <c r="T201" s="4">
        <v>0</v>
      </c>
      <c r="U201" s="4">
        <v>0</v>
      </c>
      <c r="V201" s="4" t="s">
        <v>493</v>
      </c>
      <c r="W201" s="4" t="s">
        <v>493</v>
      </c>
      <c r="X201" s="4" t="s">
        <v>493</v>
      </c>
      <c r="Y201" s="4" t="s">
        <v>493</v>
      </c>
      <c r="Z201" s="4">
        <v>0</v>
      </c>
      <c r="AA201" s="4">
        <v>0</v>
      </c>
      <c r="AB201" s="4">
        <v>5</v>
      </c>
      <c r="AC201" s="4">
        <v>0</v>
      </c>
      <c r="AD201" s="4" t="s">
        <v>19</v>
      </c>
      <c r="AE201" s="3" t="s">
        <v>475</v>
      </c>
      <c r="AF201" s="4" t="s">
        <v>147</v>
      </c>
      <c r="AG201" s="4" t="s">
        <v>476</v>
      </c>
      <c r="AH201" s="4">
        <v>1</v>
      </c>
    </row>
    <row r="202" spans="1:34" x14ac:dyDescent="0.3">
      <c r="A202" s="7" t="s">
        <v>907</v>
      </c>
      <c r="B202" s="7" t="s">
        <v>908</v>
      </c>
      <c r="C202" s="7" t="s">
        <v>19</v>
      </c>
      <c r="D202" s="7" t="s">
        <v>469</v>
      </c>
      <c r="E202" s="7" t="s">
        <v>483</v>
      </c>
      <c r="F202" s="7" t="s">
        <v>484</v>
      </c>
      <c r="G202" s="7" t="s">
        <v>472</v>
      </c>
      <c r="H202" s="7" t="s">
        <v>556</v>
      </c>
      <c r="I202" s="7">
        <v>8</v>
      </c>
      <c r="J202" s="7">
        <v>6</v>
      </c>
      <c r="K202" s="7">
        <v>3</v>
      </c>
      <c r="L202" s="7">
        <v>122</v>
      </c>
      <c r="M202" s="7">
        <v>102</v>
      </c>
      <c r="N202" s="7">
        <v>40.67</v>
      </c>
      <c r="O202" s="7">
        <v>167.6</v>
      </c>
      <c r="P202" s="7">
        <v>0</v>
      </c>
      <c r="Q202" s="7">
        <v>0</v>
      </c>
      <c r="R202" s="7">
        <v>14</v>
      </c>
      <c r="S202" s="7">
        <v>13</v>
      </c>
      <c r="T202" s="7">
        <v>0</v>
      </c>
      <c r="U202" s="7">
        <v>3</v>
      </c>
      <c r="V202" s="7">
        <v>17.670000000000002</v>
      </c>
      <c r="W202" s="7">
        <v>6.57</v>
      </c>
      <c r="X202" s="7">
        <v>13.32</v>
      </c>
      <c r="Y202" s="7" t="s">
        <v>619</v>
      </c>
      <c r="Z202" s="7">
        <v>0</v>
      </c>
      <c r="AA202" s="7">
        <v>29.9</v>
      </c>
      <c r="AB202" s="7">
        <v>8</v>
      </c>
      <c r="AC202" s="7">
        <v>0</v>
      </c>
      <c r="AD202" s="7" t="s">
        <v>47</v>
      </c>
      <c r="AE202" s="3" t="s">
        <v>475</v>
      </c>
      <c r="AF202" s="7" t="s">
        <v>181</v>
      </c>
      <c r="AG202" s="7" t="s">
        <v>502</v>
      </c>
      <c r="AH202" s="7">
        <v>18</v>
      </c>
    </row>
    <row r="203" spans="1:34" x14ac:dyDescent="0.3">
      <c r="A203" s="4" t="s">
        <v>909</v>
      </c>
      <c r="B203" s="4" t="s">
        <v>910</v>
      </c>
      <c r="C203" s="4" t="s">
        <v>81</v>
      </c>
      <c r="D203" s="4" t="s">
        <v>750</v>
      </c>
      <c r="E203" s="4" t="s">
        <v>483</v>
      </c>
      <c r="F203" s="4" t="s">
        <v>490</v>
      </c>
      <c r="G203" s="4" t="s">
        <v>472</v>
      </c>
      <c r="H203" s="4" t="s">
        <v>492</v>
      </c>
      <c r="I203" s="4">
        <v>14</v>
      </c>
      <c r="J203" s="4">
        <v>13</v>
      </c>
      <c r="K203" s="4">
        <v>3</v>
      </c>
      <c r="L203" s="4">
        <v>307</v>
      </c>
      <c r="M203" s="4">
        <v>39</v>
      </c>
      <c r="N203" s="4">
        <v>30.7</v>
      </c>
      <c r="O203" s="4">
        <v>127.2</v>
      </c>
      <c r="P203" s="4">
        <v>0</v>
      </c>
      <c r="Q203" s="4">
        <v>0</v>
      </c>
      <c r="R203" s="4">
        <v>31</v>
      </c>
      <c r="S203" s="4">
        <v>26</v>
      </c>
      <c r="T203" s="4">
        <v>0</v>
      </c>
      <c r="U203" s="4">
        <v>0</v>
      </c>
      <c r="V203" s="4" t="s">
        <v>493</v>
      </c>
      <c r="W203" s="4" t="s">
        <v>493</v>
      </c>
      <c r="X203" s="4" t="s">
        <v>493</v>
      </c>
      <c r="Y203" s="4" t="s">
        <v>493</v>
      </c>
      <c r="Z203" s="4">
        <v>0</v>
      </c>
      <c r="AA203" s="4">
        <v>0</v>
      </c>
      <c r="AB203" s="4">
        <v>7</v>
      </c>
      <c r="AC203" s="4">
        <v>0</v>
      </c>
      <c r="AD203" s="4" t="s">
        <v>142</v>
      </c>
      <c r="AE203" s="8" t="s">
        <v>486</v>
      </c>
      <c r="AF203" s="4" t="s">
        <v>279</v>
      </c>
      <c r="AG203" s="4" t="s">
        <v>476</v>
      </c>
      <c r="AH203" s="4">
        <v>0.75</v>
      </c>
    </row>
    <row r="204" spans="1:34" x14ac:dyDescent="0.3">
      <c r="A204" s="7" t="s">
        <v>911</v>
      </c>
      <c r="B204" s="7" t="s">
        <v>912</v>
      </c>
      <c r="C204" s="7" t="s">
        <v>47</v>
      </c>
      <c r="D204" s="7" t="s">
        <v>717</v>
      </c>
      <c r="E204" s="7" t="s">
        <v>543</v>
      </c>
      <c r="F204" s="7" t="s">
        <v>490</v>
      </c>
      <c r="G204" s="7" t="s">
        <v>491</v>
      </c>
      <c r="H204" s="7" t="s">
        <v>492</v>
      </c>
      <c r="I204" s="7">
        <v>9</v>
      </c>
      <c r="J204" s="7">
        <v>9</v>
      </c>
      <c r="K204" s="7">
        <v>3</v>
      </c>
      <c r="L204" s="7">
        <v>173</v>
      </c>
      <c r="M204" s="7">
        <v>99</v>
      </c>
      <c r="N204" s="7">
        <v>28.83</v>
      </c>
      <c r="O204" s="7">
        <v>126.79</v>
      </c>
      <c r="P204" s="7">
        <v>0</v>
      </c>
      <c r="Q204" s="7">
        <v>0</v>
      </c>
      <c r="R204" s="7">
        <v>22</v>
      </c>
      <c r="S204" s="7">
        <v>19</v>
      </c>
      <c r="T204" s="7">
        <v>0</v>
      </c>
      <c r="U204" s="7">
        <v>0</v>
      </c>
      <c r="V204" s="7" t="s">
        <v>493</v>
      </c>
      <c r="W204" s="7" t="s">
        <v>493</v>
      </c>
      <c r="X204" s="7" t="s">
        <v>493</v>
      </c>
      <c r="Y204" s="7" t="s">
        <v>493</v>
      </c>
      <c r="Z204" s="7">
        <v>0</v>
      </c>
      <c r="AA204" s="7">
        <v>0</v>
      </c>
      <c r="AB204" s="7">
        <v>3</v>
      </c>
      <c r="AC204" s="7">
        <v>0</v>
      </c>
      <c r="AD204" s="7" t="s">
        <v>20</v>
      </c>
      <c r="AE204" s="3" t="s">
        <v>475</v>
      </c>
      <c r="AF204" s="7" t="s">
        <v>269</v>
      </c>
      <c r="AG204" s="7" t="s">
        <v>476</v>
      </c>
      <c r="AH204" s="7">
        <v>7.5</v>
      </c>
    </row>
    <row r="205" spans="1:34" x14ac:dyDescent="0.3">
      <c r="A205" s="4" t="s">
        <v>913</v>
      </c>
      <c r="B205" s="4" t="s">
        <v>914</v>
      </c>
      <c r="C205" s="4" t="s">
        <v>37</v>
      </c>
      <c r="D205" s="4" t="s">
        <v>555</v>
      </c>
      <c r="E205" s="4" t="s">
        <v>536</v>
      </c>
      <c r="F205" s="4" t="s">
        <v>471</v>
      </c>
      <c r="G205" s="4" t="s">
        <v>491</v>
      </c>
      <c r="H205" s="4" t="s">
        <v>473</v>
      </c>
      <c r="I205" s="4">
        <v>10</v>
      </c>
      <c r="J205" s="4">
        <v>9</v>
      </c>
      <c r="K205" s="4">
        <v>3</v>
      </c>
      <c r="L205" s="4">
        <v>233</v>
      </c>
      <c r="M205" s="4">
        <v>19</v>
      </c>
      <c r="N205" s="4">
        <v>38.83</v>
      </c>
      <c r="O205" s="4">
        <v>98.06</v>
      </c>
      <c r="P205" s="4">
        <v>0</v>
      </c>
      <c r="Q205" s="4">
        <v>0</v>
      </c>
      <c r="R205" s="4">
        <v>19</v>
      </c>
      <c r="S205" s="4">
        <v>11</v>
      </c>
      <c r="T205" s="4">
        <v>2</v>
      </c>
      <c r="U205" s="4">
        <v>16</v>
      </c>
      <c r="V205" s="4">
        <v>29.46</v>
      </c>
      <c r="W205" s="4">
        <v>9.92</v>
      </c>
      <c r="X205" s="4">
        <v>15.9</v>
      </c>
      <c r="Y205" s="4" t="s">
        <v>671</v>
      </c>
      <c r="Z205" s="4">
        <v>0</v>
      </c>
      <c r="AA205" s="4">
        <v>34</v>
      </c>
      <c r="AB205" s="4">
        <v>4</v>
      </c>
      <c r="AC205" s="4">
        <v>0</v>
      </c>
      <c r="AD205" s="4" t="s">
        <v>46</v>
      </c>
      <c r="AE205" s="3" t="s">
        <v>475</v>
      </c>
      <c r="AF205" s="4" t="s">
        <v>66</v>
      </c>
      <c r="AG205" s="4" t="s">
        <v>476</v>
      </c>
      <c r="AH205" s="4">
        <v>18</v>
      </c>
    </row>
    <row r="206" spans="1:34" x14ac:dyDescent="0.3">
      <c r="A206" s="7" t="s">
        <v>915</v>
      </c>
      <c r="B206" s="7" t="s">
        <v>916</v>
      </c>
      <c r="C206" s="7" t="s">
        <v>28</v>
      </c>
      <c r="D206" s="7" t="s">
        <v>779</v>
      </c>
      <c r="E206" s="7" t="s">
        <v>483</v>
      </c>
      <c r="F206" s="7" t="s">
        <v>484</v>
      </c>
      <c r="G206" s="7" t="s">
        <v>491</v>
      </c>
      <c r="H206" s="7" t="s">
        <v>473</v>
      </c>
      <c r="I206" s="7">
        <v>10</v>
      </c>
      <c r="J206" s="7">
        <v>9</v>
      </c>
      <c r="K206" s="7">
        <v>0</v>
      </c>
      <c r="L206" s="7">
        <v>355</v>
      </c>
      <c r="M206" s="7">
        <v>40</v>
      </c>
      <c r="N206" s="7">
        <v>39.44</v>
      </c>
      <c r="O206" s="7">
        <v>126.55</v>
      </c>
      <c r="P206" s="7">
        <v>0</v>
      </c>
      <c r="Q206" s="7">
        <v>0</v>
      </c>
      <c r="R206" s="7">
        <v>38</v>
      </c>
      <c r="S206" s="7">
        <v>39</v>
      </c>
      <c r="T206" s="7">
        <v>0</v>
      </c>
      <c r="U206" s="7">
        <v>14</v>
      </c>
      <c r="V206" s="7">
        <v>16.98</v>
      </c>
      <c r="W206" s="7">
        <v>7.04</v>
      </c>
      <c r="X206" s="7">
        <v>10.07</v>
      </c>
      <c r="Y206" s="7" t="s">
        <v>576</v>
      </c>
      <c r="Z206" s="7">
        <v>0</v>
      </c>
      <c r="AA206" s="7">
        <v>30.6</v>
      </c>
      <c r="AB206" s="7">
        <v>2</v>
      </c>
      <c r="AC206" s="7">
        <v>0</v>
      </c>
      <c r="AD206" s="7" t="s">
        <v>38</v>
      </c>
      <c r="AE206" s="3" t="s">
        <v>475</v>
      </c>
      <c r="AF206" s="7" t="s">
        <v>34</v>
      </c>
      <c r="AG206" s="7" t="s">
        <v>476</v>
      </c>
      <c r="AH206" s="7">
        <v>0.75</v>
      </c>
    </row>
    <row r="207" spans="1:34" x14ac:dyDescent="0.3">
      <c r="A207" s="4" t="s">
        <v>917</v>
      </c>
      <c r="B207" s="4" t="s">
        <v>918</v>
      </c>
      <c r="C207" s="4" t="s">
        <v>20</v>
      </c>
      <c r="D207" s="4" t="s">
        <v>523</v>
      </c>
      <c r="E207" s="4" t="s">
        <v>483</v>
      </c>
      <c r="F207" s="4" t="s">
        <v>484</v>
      </c>
      <c r="G207" s="4" t="s">
        <v>491</v>
      </c>
      <c r="H207" s="4" t="s">
        <v>556</v>
      </c>
      <c r="I207" s="4">
        <v>14</v>
      </c>
      <c r="J207" s="4">
        <v>13</v>
      </c>
      <c r="K207" s="4">
        <v>2</v>
      </c>
      <c r="L207" s="4">
        <v>494</v>
      </c>
      <c r="M207" s="4">
        <v>37</v>
      </c>
      <c r="N207" s="4">
        <v>44.91</v>
      </c>
      <c r="O207" s="4">
        <v>164.49</v>
      </c>
      <c r="P207" s="4">
        <v>0</v>
      </c>
      <c r="Q207" s="4">
        <v>0</v>
      </c>
      <c r="R207" s="4">
        <v>67</v>
      </c>
      <c r="S207" s="4">
        <v>25</v>
      </c>
      <c r="T207" s="4">
        <v>0</v>
      </c>
      <c r="U207" s="4">
        <v>8</v>
      </c>
      <c r="V207" s="4">
        <v>24.43</v>
      </c>
      <c r="W207" s="4">
        <v>9.48</v>
      </c>
      <c r="X207" s="4">
        <v>16.11</v>
      </c>
      <c r="Y207" s="4" t="s">
        <v>599</v>
      </c>
      <c r="Z207" s="4">
        <v>0</v>
      </c>
      <c r="AA207" s="4">
        <v>49.1</v>
      </c>
      <c r="AB207" s="4">
        <v>11</v>
      </c>
      <c r="AC207" s="4">
        <v>0</v>
      </c>
      <c r="AD207" s="4" t="s">
        <v>38</v>
      </c>
      <c r="AE207" s="8" t="s">
        <v>486</v>
      </c>
      <c r="AF207" s="4" t="s">
        <v>381</v>
      </c>
      <c r="AG207" s="4" t="s">
        <v>502</v>
      </c>
      <c r="AH207" s="4">
        <v>0.4</v>
      </c>
    </row>
    <row r="208" spans="1:34" x14ac:dyDescent="0.3">
      <c r="A208" s="7" t="s">
        <v>919</v>
      </c>
      <c r="B208" s="7" t="s">
        <v>920</v>
      </c>
      <c r="C208" s="7" t="s">
        <v>81</v>
      </c>
      <c r="D208" s="7" t="s">
        <v>750</v>
      </c>
      <c r="E208" s="7" t="s">
        <v>559</v>
      </c>
      <c r="F208" s="7" t="s">
        <v>484</v>
      </c>
      <c r="G208" s="7" t="s">
        <v>491</v>
      </c>
      <c r="H208" s="7" t="s">
        <v>480</v>
      </c>
      <c r="I208" s="7">
        <v>13</v>
      </c>
      <c r="J208" s="7">
        <v>13</v>
      </c>
      <c r="K208" s="7">
        <v>1</v>
      </c>
      <c r="L208" s="7">
        <v>551</v>
      </c>
      <c r="M208" s="7">
        <v>44</v>
      </c>
      <c r="N208" s="7">
        <v>45.92</v>
      </c>
      <c r="O208" s="7">
        <v>170.77</v>
      </c>
      <c r="P208" s="7">
        <v>1</v>
      </c>
      <c r="Q208" s="7">
        <v>0</v>
      </c>
      <c r="R208" s="7">
        <v>49</v>
      </c>
      <c r="S208" s="7">
        <v>39</v>
      </c>
      <c r="T208" s="7">
        <v>1</v>
      </c>
      <c r="U208" s="7">
        <v>18</v>
      </c>
      <c r="V208" s="7">
        <v>20.23</v>
      </c>
      <c r="W208" s="7">
        <v>7.37</v>
      </c>
      <c r="X208" s="7">
        <v>10.32</v>
      </c>
      <c r="Y208" s="7" t="s">
        <v>560</v>
      </c>
      <c r="Z208" s="7">
        <v>0</v>
      </c>
      <c r="AA208" s="7">
        <v>35.1</v>
      </c>
      <c r="AB208" s="7">
        <v>8</v>
      </c>
      <c r="AC208" s="7">
        <v>0</v>
      </c>
      <c r="AD208" s="7" t="s">
        <v>28</v>
      </c>
      <c r="AE208" s="3" t="s">
        <v>475</v>
      </c>
      <c r="AF208" s="7" t="s">
        <v>264</v>
      </c>
      <c r="AG208" s="7" t="s">
        <v>476</v>
      </c>
      <c r="AH208" s="7">
        <v>3</v>
      </c>
    </row>
    <row r="209" spans="1:34" x14ac:dyDescent="0.3">
      <c r="A209" s="4" t="s">
        <v>921</v>
      </c>
      <c r="B209" s="4" t="s">
        <v>922</v>
      </c>
      <c r="C209" s="4" t="s">
        <v>19</v>
      </c>
      <c r="D209" s="4" t="s">
        <v>469</v>
      </c>
      <c r="E209" s="4" t="s">
        <v>483</v>
      </c>
      <c r="F209" s="4" t="s">
        <v>490</v>
      </c>
      <c r="G209" s="4" t="s">
        <v>491</v>
      </c>
      <c r="H209" s="4" t="s">
        <v>492</v>
      </c>
      <c r="I209" s="4">
        <v>10</v>
      </c>
      <c r="J209" s="4">
        <v>10</v>
      </c>
      <c r="K209" s="4">
        <v>2</v>
      </c>
      <c r="L209" s="4">
        <v>234</v>
      </c>
      <c r="M209" s="4">
        <v>95</v>
      </c>
      <c r="N209" s="4">
        <v>29.25</v>
      </c>
      <c r="O209" s="4">
        <v>119.12</v>
      </c>
      <c r="P209" s="4">
        <v>0</v>
      </c>
      <c r="Q209" s="4">
        <v>0</v>
      </c>
      <c r="R209" s="4">
        <v>23</v>
      </c>
      <c r="S209" s="4">
        <v>26</v>
      </c>
      <c r="T209" s="4">
        <v>0</v>
      </c>
      <c r="U209" s="4">
        <v>0</v>
      </c>
      <c r="V209" s="4" t="s">
        <v>493</v>
      </c>
      <c r="W209" s="4" t="s">
        <v>493</v>
      </c>
      <c r="X209" s="4" t="s">
        <v>493</v>
      </c>
      <c r="Y209" s="4" t="s">
        <v>493</v>
      </c>
      <c r="Z209" s="4">
        <v>0</v>
      </c>
      <c r="AA209" s="4">
        <v>0</v>
      </c>
      <c r="AB209" s="4">
        <v>10</v>
      </c>
      <c r="AC209" s="4">
        <v>0</v>
      </c>
      <c r="AD209" s="4" t="s">
        <v>81</v>
      </c>
      <c r="AE209" s="3" t="s">
        <v>475</v>
      </c>
      <c r="AF209" s="4" t="s">
        <v>289</v>
      </c>
      <c r="AG209" s="4" t="s">
        <v>502</v>
      </c>
      <c r="AH209" s="4">
        <v>0.4</v>
      </c>
    </row>
    <row r="210" spans="1:34" x14ac:dyDescent="0.3">
      <c r="A210" s="7" t="s">
        <v>923</v>
      </c>
      <c r="B210" s="7" t="s">
        <v>924</v>
      </c>
      <c r="C210" s="7" t="s">
        <v>142</v>
      </c>
      <c r="D210" s="7" t="s">
        <v>684</v>
      </c>
      <c r="E210" s="7" t="s">
        <v>483</v>
      </c>
      <c r="F210" s="7" t="s">
        <v>484</v>
      </c>
      <c r="G210" s="7" t="s">
        <v>472</v>
      </c>
      <c r="H210" s="7" t="s">
        <v>516</v>
      </c>
      <c r="I210" s="7">
        <v>9</v>
      </c>
      <c r="J210" s="7">
        <v>7</v>
      </c>
      <c r="K210" s="7">
        <v>3</v>
      </c>
      <c r="L210" s="7">
        <v>167</v>
      </c>
      <c r="M210" s="7">
        <v>110</v>
      </c>
      <c r="N210" s="7">
        <v>41.75</v>
      </c>
      <c r="O210" s="7">
        <v>111.25</v>
      </c>
      <c r="P210" s="7">
        <v>0</v>
      </c>
      <c r="Q210" s="7">
        <v>0</v>
      </c>
      <c r="R210" s="7">
        <v>21</v>
      </c>
      <c r="S210" s="7">
        <v>6</v>
      </c>
      <c r="T210" s="7">
        <v>0</v>
      </c>
      <c r="U210" s="7">
        <v>8</v>
      </c>
      <c r="V210" s="7">
        <v>15.6</v>
      </c>
      <c r="W210" s="7">
        <v>9.41</v>
      </c>
      <c r="X210" s="7">
        <v>11.55</v>
      </c>
      <c r="Y210" s="7" t="s">
        <v>541</v>
      </c>
      <c r="Z210" s="7">
        <v>0</v>
      </c>
      <c r="AA210" s="7">
        <v>23.3</v>
      </c>
      <c r="AB210" s="7">
        <v>4</v>
      </c>
      <c r="AC210" s="7">
        <v>0</v>
      </c>
      <c r="AD210" s="7" t="s">
        <v>47</v>
      </c>
      <c r="AE210" s="3" t="s">
        <v>475</v>
      </c>
      <c r="AF210" s="7" t="s">
        <v>298</v>
      </c>
      <c r="AG210" s="7" t="s">
        <v>476</v>
      </c>
      <c r="AH210" s="7">
        <v>4</v>
      </c>
    </row>
    <row r="211" spans="1:34" x14ac:dyDescent="0.3">
      <c r="A211" s="4" t="s">
        <v>925</v>
      </c>
      <c r="B211" s="4" t="s">
        <v>926</v>
      </c>
      <c r="C211" s="4" t="s">
        <v>46</v>
      </c>
      <c r="D211" s="4" t="s">
        <v>622</v>
      </c>
      <c r="E211" s="4" t="s">
        <v>597</v>
      </c>
      <c r="F211" s="4" t="s">
        <v>471</v>
      </c>
      <c r="G211" s="4" t="s">
        <v>491</v>
      </c>
      <c r="H211" s="4" t="s">
        <v>516</v>
      </c>
      <c r="I211" s="4">
        <v>8</v>
      </c>
      <c r="J211" s="4">
        <v>6</v>
      </c>
      <c r="K211" s="4">
        <v>0</v>
      </c>
      <c r="L211" s="4">
        <v>21</v>
      </c>
      <c r="M211" s="4">
        <v>14</v>
      </c>
      <c r="N211" s="4">
        <v>3.5</v>
      </c>
      <c r="O211" s="4">
        <v>85.67</v>
      </c>
      <c r="P211" s="4">
        <v>0</v>
      </c>
      <c r="Q211" s="4">
        <v>0</v>
      </c>
      <c r="R211" s="4">
        <v>1</v>
      </c>
      <c r="S211" s="4">
        <v>1</v>
      </c>
      <c r="T211" s="4">
        <v>1</v>
      </c>
      <c r="U211" s="4">
        <v>13</v>
      </c>
      <c r="V211" s="4">
        <v>29.13</v>
      </c>
      <c r="W211" s="4">
        <v>9.7799999999999994</v>
      </c>
      <c r="X211" s="4">
        <v>10.95</v>
      </c>
      <c r="Y211" s="4" t="s">
        <v>685</v>
      </c>
      <c r="Z211" s="4">
        <v>0</v>
      </c>
      <c r="AA211" s="4">
        <v>24</v>
      </c>
      <c r="AB211" s="4">
        <v>7</v>
      </c>
      <c r="AC211" s="4">
        <v>0</v>
      </c>
      <c r="AD211" s="4" t="s">
        <v>37</v>
      </c>
      <c r="AE211" s="8" t="s">
        <v>486</v>
      </c>
      <c r="AF211" s="4" t="s">
        <v>274</v>
      </c>
      <c r="AG211" s="4" t="s">
        <v>476</v>
      </c>
      <c r="AH211" s="4">
        <v>1.5</v>
      </c>
    </row>
    <row r="212" spans="1:34" x14ac:dyDescent="0.3">
      <c r="A212" s="7" t="s">
        <v>927</v>
      </c>
      <c r="B212" s="7" t="s">
        <v>928</v>
      </c>
      <c r="C212" s="7" t="s">
        <v>46</v>
      </c>
      <c r="D212" s="7" t="s">
        <v>622</v>
      </c>
      <c r="E212" s="7" t="s">
        <v>483</v>
      </c>
      <c r="F212" s="7" t="s">
        <v>484</v>
      </c>
      <c r="G212" s="7" t="s">
        <v>472</v>
      </c>
      <c r="H212" s="7" t="s">
        <v>480</v>
      </c>
      <c r="I212" s="7">
        <v>8</v>
      </c>
      <c r="J212" s="7">
        <v>8</v>
      </c>
      <c r="K212" s="7">
        <v>2</v>
      </c>
      <c r="L212" s="7">
        <v>269</v>
      </c>
      <c r="M212" s="7">
        <v>111</v>
      </c>
      <c r="N212" s="7">
        <v>44.83</v>
      </c>
      <c r="O212" s="7">
        <v>122.04</v>
      </c>
      <c r="P212" s="7">
        <v>0</v>
      </c>
      <c r="Q212" s="7">
        <v>0</v>
      </c>
      <c r="R212" s="7">
        <v>31</v>
      </c>
      <c r="S212" s="7">
        <v>24</v>
      </c>
      <c r="T212" s="7">
        <v>0</v>
      </c>
      <c r="U212" s="7">
        <v>8</v>
      </c>
      <c r="V212" s="7">
        <v>25.44</v>
      </c>
      <c r="W212" s="7">
        <v>8.33</v>
      </c>
      <c r="X212" s="7">
        <v>14.45</v>
      </c>
      <c r="Y212" s="7" t="s">
        <v>725</v>
      </c>
      <c r="Z212" s="7">
        <v>0</v>
      </c>
      <c r="AA212" s="7">
        <v>25.6</v>
      </c>
      <c r="AB212" s="7">
        <v>8</v>
      </c>
      <c r="AC212" s="7">
        <v>0</v>
      </c>
      <c r="AD212" s="7" t="s">
        <v>81</v>
      </c>
      <c r="AE212" s="8" t="s">
        <v>486</v>
      </c>
      <c r="AF212" s="7" t="s">
        <v>78</v>
      </c>
      <c r="AG212" s="7" t="s">
        <v>476</v>
      </c>
      <c r="AH212" s="7">
        <v>18</v>
      </c>
    </row>
    <row r="213" spans="1:34" x14ac:dyDescent="0.3">
      <c r="A213" s="4" t="s">
        <v>929</v>
      </c>
      <c r="B213" s="4" t="s">
        <v>930</v>
      </c>
      <c r="C213" s="4" t="s">
        <v>19</v>
      </c>
      <c r="D213" s="4" t="s">
        <v>469</v>
      </c>
      <c r="E213" s="4" t="s">
        <v>483</v>
      </c>
      <c r="F213" s="4" t="s">
        <v>490</v>
      </c>
      <c r="G213" s="4" t="s">
        <v>491</v>
      </c>
      <c r="H213" s="4" t="s">
        <v>492</v>
      </c>
      <c r="I213" s="4">
        <v>11</v>
      </c>
      <c r="J213" s="4">
        <v>10</v>
      </c>
      <c r="K213" s="4">
        <v>1</v>
      </c>
      <c r="L213" s="4">
        <v>382</v>
      </c>
      <c r="M213" s="4">
        <v>33</v>
      </c>
      <c r="N213" s="4">
        <v>42.44</v>
      </c>
      <c r="O213" s="4">
        <v>176.49</v>
      </c>
      <c r="P213" s="4">
        <v>0</v>
      </c>
      <c r="Q213" s="4">
        <v>0</v>
      </c>
      <c r="R213" s="4">
        <v>47</v>
      </c>
      <c r="S213" s="4">
        <v>24</v>
      </c>
      <c r="T213" s="4">
        <v>0</v>
      </c>
      <c r="U213" s="4">
        <v>0</v>
      </c>
      <c r="V213" s="4" t="s">
        <v>493</v>
      </c>
      <c r="W213" s="4" t="s">
        <v>493</v>
      </c>
      <c r="X213" s="4" t="s">
        <v>493</v>
      </c>
      <c r="Y213" s="4" t="s">
        <v>493</v>
      </c>
      <c r="Z213" s="4">
        <v>0</v>
      </c>
      <c r="AA213" s="4">
        <v>0</v>
      </c>
      <c r="AB213" s="4">
        <v>7</v>
      </c>
      <c r="AC213" s="4">
        <v>0</v>
      </c>
      <c r="AD213" s="4" t="s">
        <v>142</v>
      </c>
      <c r="AE213" s="8" t="s">
        <v>486</v>
      </c>
      <c r="AF213" s="4" t="s">
        <v>253</v>
      </c>
      <c r="AG213" s="4" t="s">
        <v>502</v>
      </c>
      <c r="AH213" s="4">
        <v>0.5</v>
      </c>
    </row>
    <row r="214" spans="1:34" x14ac:dyDescent="0.3">
      <c r="A214" s="7" t="s">
        <v>931</v>
      </c>
      <c r="B214" s="7" t="s">
        <v>932</v>
      </c>
      <c r="C214" s="7" t="s">
        <v>47</v>
      </c>
      <c r="D214" s="7" t="s">
        <v>717</v>
      </c>
      <c r="E214" s="7" t="s">
        <v>483</v>
      </c>
      <c r="F214" s="7" t="s">
        <v>490</v>
      </c>
      <c r="G214" s="7" t="s">
        <v>472</v>
      </c>
      <c r="H214" s="7" t="s">
        <v>492</v>
      </c>
      <c r="I214" s="7">
        <v>9</v>
      </c>
      <c r="J214" s="7">
        <v>9</v>
      </c>
      <c r="K214" s="7">
        <v>1</v>
      </c>
      <c r="L214" s="7">
        <v>187</v>
      </c>
      <c r="M214" s="7">
        <v>109</v>
      </c>
      <c r="N214" s="7">
        <v>23.38</v>
      </c>
      <c r="O214" s="7">
        <v>162.22</v>
      </c>
      <c r="P214" s="7">
        <v>0</v>
      </c>
      <c r="Q214" s="7">
        <v>0</v>
      </c>
      <c r="R214" s="7">
        <v>20</v>
      </c>
      <c r="S214" s="7">
        <v>7</v>
      </c>
      <c r="T214" s="7">
        <v>0</v>
      </c>
      <c r="U214" s="7">
        <v>0</v>
      </c>
      <c r="V214" s="7" t="s">
        <v>493</v>
      </c>
      <c r="W214" s="7" t="s">
        <v>493</v>
      </c>
      <c r="X214" s="7" t="s">
        <v>493</v>
      </c>
      <c r="Y214" s="7" t="s">
        <v>493</v>
      </c>
      <c r="Z214" s="7">
        <v>0</v>
      </c>
      <c r="AA214" s="7">
        <v>0</v>
      </c>
      <c r="AB214" s="7">
        <v>9</v>
      </c>
      <c r="AC214" s="7">
        <v>0</v>
      </c>
      <c r="AD214" s="7" t="s">
        <v>37</v>
      </c>
      <c r="AE214" s="8" t="s">
        <v>486</v>
      </c>
      <c r="AF214" s="7" t="s">
        <v>34</v>
      </c>
      <c r="AG214" s="7" t="s">
        <v>476</v>
      </c>
      <c r="AH214" s="7">
        <v>7.5</v>
      </c>
    </row>
    <row r="215" spans="1:34" x14ac:dyDescent="0.3">
      <c r="A215" s="4" t="s">
        <v>933</v>
      </c>
      <c r="B215" s="4" t="s">
        <v>934</v>
      </c>
      <c r="C215" s="4" t="s">
        <v>46</v>
      </c>
      <c r="D215" s="4" t="s">
        <v>622</v>
      </c>
      <c r="E215" s="4" t="s">
        <v>543</v>
      </c>
      <c r="F215" s="4" t="s">
        <v>490</v>
      </c>
      <c r="G215" s="4" t="s">
        <v>491</v>
      </c>
      <c r="H215" s="4" t="s">
        <v>492</v>
      </c>
      <c r="I215" s="4">
        <v>9</v>
      </c>
      <c r="J215" s="4">
        <v>9</v>
      </c>
      <c r="K215" s="4">
        <v>3</v>
      </c>
      <c r="L215" s="4">
        <v>173</v>
      </c>
      <c r="M215" s="4">
        <v>99</v>
      </c>
      <c r="N215" s="4">
        <v>28.83</v>
      </c>
      <c r="O215" s="4">
        <v>126.79</v>
      </c>
      <c r="P215" s="4">
        <v>0</v>
      </c>
      <c r="Q215" s="4">
        <v>0</v>
      </c>
      <c r="R215" s="4">
        <v>22</v>
      </c>
      <c r="S215" s="4">
        <v>19</v>
      </c>
      <c r="T215" s="4">
        <v>0</v>
      </c>
      <c r="U215" s="4">
        <v>0</v>
      </c>
      <c r="V215" s="4" t="s">
        <v>493</v>
      </c>
      <c r="W215" s="4" t="s">
        <v>493</v>
      </c>
      <c r="X215" s="4" t="s">
        <v>493</v>
      </c>
      <c r="Y215" s="4" t="s">
        <v>493</v>
      </c>
      <c r="Z215" s="4">
        <v>0</v>
      </c>
      <c r="AA215" s="4">
        <v>0</v>
      </c>
      <c r="AB215" s="4">
        <v>3</v>
      </c>
      <c r="AC215" s="4">
        <v>0</v>
      </c>
      <c r="AD215" s="4" t="s">
        <v>20</v>
      </c>
      <c r="AE215" s="3" t="s">
        <v>475</v>
      </c>
      <c r="AF215" s="4" t="s">
        <v>269</v>
      </c>
      <c r="AG215" s="4" t="s">
        <v>476</v>
      </c>
      <c r="AH215" s="4">
        <v>7.5</v>
      </c>
    </row>
    <row r="216" spans="1:34" x14ac:dyDescent="0.3">
      <c r="A216" s="7" t="s">
        <v>935</v>
      </c>
      <c r="B216" s="7" t="s">
        <v>936</v>
      </c>
      <c r="C216" s="7" t="s">
        <v>55</v>
      </c>
      <c r="D216" s="7" t="s">
        <v>588</v>
      </c>
      <c r="E216" s="7" t="s">
        <v>479</v>
      </c>
      <c r="F216" s="7" t="s">
        <v>490</v>
      </c>
      <c r="G216" s="7" t="s">
        <v>491</v>
      </c>
      <c r="H216" s="7" t="s">
        <v>492</v>
      </c>
      <c r="I216" s="7">
        <v>10</v>
      </c>
      <c r="J216" s="7">
        <v>8</v>
      </c>
      <c r="K216" s="7">
        <v>3</v>
      </c>
      <c r="L216" s="7">
        <v>261</v>
      </c>
      <c r="M216" s="7">
        <v>65</v>
      </c>
      <c r="N216" s="7">
        <v>52.2</v>
      </c>
      <c r="O216" s="7">
        <v>128.86000000000001</v>
      </c>
      <c r="P216" s="7">
        <v>0</v>
      </c>
      <c r="Q216" s="7">
        <v>0</v>
      </c>
      <c r="R216" s="7">
        <v>35</v>
      </c>
      <c r="S216" s="7">
        <v>13</v>
      </c>
      <c r="T216" s="7">
        <v>0</v>
      </c>
      <c r="U216" s="7">
        <v>0</v>
      </c>
      <c r="V216" s="7" t="s">
        <v>493</v>
      </c>
      <c r="W216" s="7" t="s">
        <v>493</v>
      </c>
      <c r="X216" s="7" t="s">
        <v>493</v>
      </c>
      <c r="Y216" s="7" t="s">
        <v>493</v>
      </c>
      <c r="Z216" s="7">
        <v>0</v>
      </c>
      <c r="AA216" s="7">
        <v>0</v>
      </c>
      <c r="AB216" s="7">
        <v>3</v>
      </c>
      <c r="AC216" s="7">
        <v>0</v>
      </c>
      <c r="AD216" s="7" t="s">
        <v>28</v>
      </c>
      <c r="AE216" s="3" t="s">
        <v>475</v>
      </c>
      <c r="AF216" s="7" t="s">
        <v>159</v>
      </c>
      <c r="AG216" s="7" t="s">
        <v>476</v>
      </c>
      <c r="AH216" s="7">
        <v>0.4</v>
      </c>
    </row>
    <row r="217" spans="1:34" x14ac:dyDescent="0.3">
      <c r="A217" s="4" t="s">
        <v>937</v>
      </c>
      <c r="B217" s="4" t="s">
        <v>938</v>
      </c>
      <c r="C217" s="4" t="s">
        <v>142</v>
      </c>
      <c r="D217" s="4" t="s">
        <v>684</v>
      </c>
      <c r="E217" s="4" t="s">
        <v>589</v>
      </c>
      <c r="F217" s="4" t="s">
        <v>471</v>
      </c>
      <c r="G217" s="4" t="s">
        <v>472</v>
      </c>
      <c r="H217" s="4" t="s">
        <v>473</v>
      </c>
      <c r="I217" s="4">
        <v>8</v>
      </c>
      <c r="J217" s="4">
        <v>6</v>
      </c>
      <c r="K217" s="4">
        <v>0</v>
      </c>
      <c r="L217" s="4">
        <v>28</v>
      </c>
      <c r="M217" s="4">
        <v>12</v>
      </c>
      <c r="N217" s="4">
        <v>4.67</v>
      </c>
      <c r="O217" s="4">
        <v>88.53</v>
      </c>
      <c r="P217" s="4">
        <v>0</v>
      </c>
      <c r="Q217" s="4">
        <v>0</v>
      </c>
      <c r="R217" s="4">
        <v>2</v>
      </c>
      <c r="S217" s="4">
        <v>1</v>
      </c>
      <c r="T217" s="4">
        <v>2</v>
      </c>
      <c r="U217" s="4">
        <v>12</v>
      </c>
      <c r="V217" s="4">
        <v>29.58</v>
      </c>
      <c r="W217" s="4">
        <v>6.55</v>
      </c>
      <c r="X217" s="4">
        <v>11.2</v>
      </c>
      <c r="Y217" s="4" t="s">
        <v>661</v>
      </c>
      <c r="Z217" s="4">
        <v>0</v>
      </c>
      <c r="AA217" s="4">
        <v>27.5</v>
      </c>
      <c r="AB217" s="4">
        <v>3</v>
      </c>
      <c r="AC217" s="4">
        <v>0</v>
      </c>
      <c r="AD217" s="4" t="s">
        <v>142</v>
      </c>
      <c r="AE217" s="3" t="s">
        <v>475</v>
      </c>
      <c r="AF217" s="4" t="s">
        <v>187</v>
      </c>
      <c r="AG217" s="4" t="s">
        <v>476</v>
      </c>
      <c r="AH217" s="4">
        <v>0.4</v>
      </c>
    </row>
    <row r="218" spans="1:34" x14ac:dyDescent="0.3">
      <c r="A218" s="7" t="s">
        <v>939</v>
      </c>
      <c r="B218" s="7" t="s">
        <v>940</v>
      </c>
      <c r="C218" s="7" t="s">
        <v>47</v>
      </c>
      <c r="D218" s="7" t="s">
        <v>717</v>
      </c>
      <c r="E218" s="7" t="s">
        <v>483</v>
      </c>
      <c r="F218" s="7" t="s">
        <v>490</v>
      </c>
      <c r="G218" s="7" t="s">
        <v>472</v>
      </c>
      <c r="H218" s="7" t="s">
        <v>492</v>
      </c>
      <c r="I218" s="7">
        <v>14</v>
      </c>
      <c r="J218" s="7">
        <v>13</v>
      </c>
      <c r="K218" s="7">
        <v>1</v>
      </c>
      <c r="L218" s="7">
        <v>639</v>
      </c>
      <c r="M218" s="7">
        <v>71</v>
      </c>
      <c r="N218" s="7">
        <v>53.25</v>
      </c>
      <c r="O218" s="7">
        <v>140.6</v>
      </c>
      <c r="P218" s="7">
        <v>0</v>
      </c>
      <c r="Q218" s="7">
        <v>0</v>
      </c>
      <c r="R218" s="7">
        <v>65</v>
      </c>
      <c r="S218" s="7">
        <v>30</v>
      </c>
      <c r="T218" s="7">
        <v>0</v>
      </c>
      <c r="U218" s="7">
        <v>0</v>
      </c>
      <c r="V218" s="7" t="s">
        <v>493</v>
      </c>
      <c r="W218" s="7" t="s">
        <v>493</v>
      </c>
      <c r="X218" s="7" t="s">
        <v>493</v>
      </c>
      <c r="Y218" s="7" t="s">
        <v>493</v>
      </c>
      <c r="Z218" s="7">
        <v>0</v>
      </c>
      <c r="AA218" s="7">
        <v>0</v>
      </c>
      <c r="AB218" s="7">
        <v>14</v>
      </c>
      <c r="AC218" s="7">
        <v>0</v>
      </c>
      <c r="AD218" s="7" t="s">
        <v>55</v>
      </c>
      <c r="AE218" s="8" t="s">
        <v>486</v>
      </c>
      <c r="AF218" s="7" t="s">
        <v>181</v>
      </c>
      <c r="AG218" s="7" t="s">
        <v>476</v>
      </c>
      <c r="AH218" s="7">
        <v>18</v>
      </c>
    </row>
    <row r="219" spans="1:34" x14ac:dyDescent="0.3">
      <c r="A219" s="4" t="s">
        <v>941</v>
      </c>
      <c r="B219" s="4" t="s">
        <v>942</v>
      </c>
      <c r="C219" s="4" t="s">
        <v>20</v>
      </c>
      <c r="D219" s="4" t="s">
        <v>523</v>
      </c>
      <c r="E219" s="4" t="s">
        <v>483</v>
      </c>
      <c r="F219" s="4" t="s">
        <v>471</v>
      </c>
      <c r="G219" s="4" t="s">
        <v>472</v>
      </c>
      <c r="H219" s="4" t="s">
        <v>514</v>
      </c>
      <c r="I219" s="4">
        <v>11</v>
      </c>
      <c r="J219" s="4">
        <v>10</v>
      </c>
      <c r="K219" s="4">
        <v>0</v>
      </c>
      <c r="L219" s="4">
        <v>244</v>
      </c>
      <c r="M219" s="4">
        <v>39</v>
      </c>
      <c r="N219" s="4">
        <v>24.4</v>
      </c>
      <c r="O219" s="4">
        <v>90.58</v>
      </c>
      <c r="P219" s="4">
        <v>0</v>
      </c>
      <c r="Q219" s="4">
        <v>0</v>
      </c>
      <c r="R219" s="4">
        <v>20</v>
      </c>
      <c r="S219" s="4">
        <v>12</v>
      </c>
      <c r="T219" s="4">
        <v>2</v>
      </c>
      <c r="U219" s="4">
        <v>16</v>
      </c>
      <c r="V219" s="4">
        <v>14.87</v>
      </c>
      <c r="W219" s="4">
        <v>6.8</v>
      </c>
      <c r="X219" s="4">
        <v>13.2</v>
      </c>
      <c r="Y219" s="4" t="s">
        <v>739</v>
      </c>
      <c r="Z219" s="4">
        <v>0</v>
      </c>
      <c r="AA219" s="4">
        <v>40.9</v>
      </c>
      <c r="AB219" s="4">
        <v>7</v>
      </c>
      <c r="AC219" s="4">
        <v>0</v>
      </c>
      <c r="AD219" s="4" t="s">
        <v>20</v>
      </c>
      <c r="AE219" s="8" t="s">
        <v>486</v>
      </c>
      <c r="AF219" s="4" t="s">
        <v>298</v>
      </c>
      <c r="AG219" s="4" t="s">
        <v>476</v>
      </c>
      <c r="AH219" s="4">
        <v>0.75</v>
      </c>
    </row>
    <row r="220" spans="1:34" x14ac:dyDescent="0.3">
      <c r="A220" s="7" t="s">
        <v>943</v>
      </c>
      <c r="B220" s="7" t="s">
        <v>944</v>
      </c>
      <c r="C220" s="7" t="s">
        <v>46</v>
      </c>
      <c r="D220" s="7" t="s">
        <v>622</v>
      </c>
      <c r="E220" s="7" t="s">
        <v>559</v>
      </c>
      <c r="F220" s="7" t="s">
        <v>484</v>
      </c>
      <c r="G220" s="7" t="s">
        <v>491</v>
      </c>
      <c r="H220" s="7" t="s">
        <v>556</v>
      </c>
      <c r="I220" s="7">
        <v>10</v>
      </c>
      <c r="J220" s="7">
        <v>10</v>
      </c>
      <c r="K220" s="7">
        <v>1</v>
      </c>
      <c r="L220" s="7">
        <v>472</v>
      </c>
      <c r="M220" s="7">
        <v>49</v>
      </c>
      <c r="N220" s="7">
        <v>52.44</v>
      </c>
      <c r="O220" s="7">
        <v>178.7</v>
      </c>
      <c r="P220" s="7">
        <v>0</v>
      </c>
      <c r="Q220" s="7">
        <v>0</v>
      </c>
      <c r="R220" s="7">
        <v>56</v>
      </c>
      <c r="S220" s="7">
        <v>53</v>
      </c>
      <c r="T220" s="7">
        <v>0</v>
      </c>
      <c r="U220" s="7">
        <v>15</v>
      </c>
      <c r="V220" s="7">
        <v>18.670000000000002</v>
      </c>
      <c r="W220" s="7">
        <v>7.76</v>
      </c>
      <c r="X220" s="7">
        <v>16.13</v>
      </c>
      <c r="Y220" s="7" t="s">
        <v>678</v>
      </c>
      <c r="Z220" s="7">
        <v>0</v>
      </c>
      <c r="AA220" s="7">
        <v>33.1</v>
      </c>
      <c r="AB220" s="7">
        <v>9</v>
      </c>
      <c r="AC220" s="7">
        <v>0</v>
      </c>
      <c r="AD220" s="7" t="s">
        <v>37</v>
      </c>
      <c r="AE220" s="3" t="s">
        <v>475</v>
      </c>
      <c r="AF220" s="7" t="s">
        <v>235</v>
      </c>
      <c r="AG220" s="7" t="s">
        <v>476</v>
      </c>
      <c r="AH220" s="7">
        <v>4</v>
      </c>
    </row>
    <row r="221" spans="1:34" x14ac:dyDescent="0.3">
      <c r="A221" s="4" t="s">
        <v>945</v>
      </c>
      <c r="B221" s="4" t="s">
        <v>946</v>
      </c>
      <c r="C221" s="4" t="s">
        <v>81</v>
      </c>
      <c r="D221" s="4" t="s">
        <v>750</v>
      </c>
      <c r="E221" s="4" t="s">
        <v>543</v>
      </c>
      <c r="F221" s="4" t="s">
        <v>471</v>
      </c>
      <c r="G221" s="4" t="s">
        <v>472</v>
      </c>
      <c r="H221" s="4" t="s">
        <v>514</v>
      </c>
      <c r="I221" s="4">
        <v>14</v>
      </c>
      <c r="J221" s="4">
        <v>13</v>
      </c>
      <c r="K221" s="4">
        <v>1</v>
      </c>
      <c r="L221" s="4">
        <v>133</v>
      </c>
      <c r="M221" s="4">
        <v>10</v>
      </c>
      <c r="N221" s="4">
        <v>11.08</v>
      </c>
      <c r="O221" s="4">
        <v>122.19</v>
      </c>
      <c r="P221" s="4">
        <v>0</v>
      </c>
      <c r="Q221" s="4">
        <v>0</v>
      </c>
      <c r="R221" s="4">
        <v>11</v>
      </c>
      <c r="S221" s="4">
        <v>6</v>
      </c>
      <c r="T221" s="4">
        <v>1</v>
      </c>
      <c r="U221" s="4">
        <v>15</v>
      </c>
      <c r="V221" s="4">
        <v>18.690000000000001</v>
      </c>
      <c r="W221" s="4">
        <v>9.6199999999999992</v>
      </c>
      <c r="X221" s="4">
        <v>14.4</v>
      </c>
      <c r="Y221" s="4" t="s">
        <v>623</v>
      </c>
      <c r="Z221" s="4">
        <v>0</v>
      </c>
      <c r="AA221" s="4">
        <v>36.200000000000003</v>
      </c>
      <c r="AB221" s="4">
        <v>6</v>
      </c>
      <c r="AC221" s="4">
        <v>0</v>
      </c>
      <c r="AD221" s="4" t="s">
        <v>20</v>
      </c>
      <c r="AE221" s="8" t="s">
        <v>486</v>
      </c>
      <c r="AF221" s="4" t="s">
        <v>115</v>
      </c>
      <c r="AG221" s="4" t="s">
        <v>476</v>
      </c>
      <c r="AH221" s="4">
        <v>18</v>
      </c>
    </row>
    <row r="222" spans="1:34" x14ac:dyDescent="0.3">
      <c r="A222" s="7" t="s">
        <v>947</v>
      </c>
      <c r="B222" s="7" t="s">
        <v>948</v>
      </c>
      <c r="C222" s="7" t="s">
        <v>38</v>
      </c>
      <c r="D222" s="7" t="s">
        <v>654</v>
      </c>
      <c r="E222" s="7" t="s">
        <v>483</v>
      </c>
      <c r="F222" s="7" t="s">
        <v>484</v>
      </c>
      <c r="G222" s="7" t="s">
        <v>472</v>
      </c>
      <c r="H222" s="7" t="s">
        <v>480</v>
      </c>
      <c r="I222" s="7">
        <v>8</v>
      </c>
      <c r="J222" s="7">
        <v>8</v>
      </c>
      <c r="K222" s="7">
        <v>2</v>
      </c>
      <c r="L222" s="7">
        <v>269</v>
      </c>
      <c r="M222" s="7">
        <v>111</v>
      </c>
      <c r="N222" s="7">
        <v>44.83</v>
      </c>
      <c r="O222" s="7">
        <v>122.04</v>
      </c>
      <c r="P222" s="7">
        <v>0</v>
      </c>
      <c r="Q222" s="7">
        <v>0</v>
      </c>
      <c r="R222" s="7">
        <v>31</v>
      </c>
      <c r="S222" s="7">
        <v>24</v>
      </c>
      <c r="T222" s="7">
        <v>0</v>
      </c>
      <c r="U222" s="7">
        <v>8</v>
      </c>
      <c r="V222" s="7">
        <v>25.44</v>
      </c>
      <c r="W222" s="7">
        <v>8.33</v>
      </c>
      <c r="X222" s="7">
        <v>14.45</v>
      </c>
      <c r="Y222" s="7" t="s">
        <v>725</v>
      </c>
      <c r="Z222" s="7">
        <v>0</v>
      </c>
      <c r="AA222" s="7">
        <v>25.6</v>
      </c>
      <c r="AB222" s="7">
        <v>8</v>
      </c>
      <c r="AC222" s="7">
        <v>0</v>
      </c>
      <c r="AD222" s="7" t="s">
        <v>81</v>
      </c>
      <c r="AE222" s="8" t="s">
        <v>486</v>
      </c>
      <c r="AF222" s="7" t="s">
        <v>78</v>
      </c>
      <c r="AG222" s="7" t="s">
        <v>476</v>
      </c>
      <c r="AH222" s="7">
        <v>18</v>
      </c>
    </row>
    <row r="223" spans="1:34" x14ac:dyDescent="0.3">
      <c r="A223" s="4" t="s">
        <v>949</v>
      </c>
      <c r="B223" s="4" t="s">
        <v>950</v>
      </c>
      <c r="C223" s="4" t="s">
        <v>81</v>
      </c>
      <c r="D223" s="4" t="s">
        <v>750</v>
      </c>
      <c r="E223" s="4" t="s">
        <v>489</v>
      </c>
      <c r="F223" s="4" t="s">
        <v>484</v>
      </c>
      <c r="G223" s="4" t="s">
        <v>472</v>
      </c>
      <c r="H223" s="4" t="s">
        <v>480</v>
      </c>
      <c r="I223" s="4">
        <v>14</v>
      </c>
      <c r="J223" s="4">
        <v>12</v>
      </c>
      <c r="K223" s="4">
        <v>0</v>
      </c>
      <c r="L223" s="4">
        <v>370</v>
      </c>
      <c r="M223" s="4">
        <v>116</v>
      </c>
      <c r="N223" s="4">
        <v>30.83</v>
      </c>
      <c r="O223" s="4">
        <v>176.54</v>
      </c>
      <c r="P223" s="4">
        <v>0</v>
      </c>
      <c r="Q223" s="4">
        <v>0</v>
      </c>
      <c r="R223" s="4">
        <v>36</v>
      </c>
      <c r="S223" s="4">
        <v>18</v>
      </c>
      <c r="T223" s="4">
        <v>1</v>
      </c>
      <c r="U223" s="4">
        <v>8</v>
      </c>
      <c r="V223" s="4">
        <v>21.7</v>
      </c>
      <c r="W223" s="4">
        <v>7.75</v>
      </c>
      <c r="X223" s="4">
        <v>14.72</v>
      </c>
      <c r="Y223" s="4" t="s">
        <v>616</v>
      </c>
      <c r="Z223" s="4">
        <v>0</v>
      </c>
      <c r="AA223" s="4">
        <v>43.8</v>
      </c>
      <c r="AB223" s="4">
        <v>2</v>
      </c>
      <c r="AC223" s="4">
        <v>0</v>
      </c>
      <c r="AD223" s="4" t="s">
        <v>28</v>
      </c>
      <c r="AE223" s="8" t="s">
        <v>486</v>
      </c>
      <c r="AF223" s="4" t="s">
        <v>134</v>
      </c>
      <c r="AG223" s="4" t="s">
        <v>476</v>
      </c>
      <c r="AH223" s="4">
        <v>4</v>
      </c>
    </row>
    <row r="224" spans="1:34" x14ac:dyDescent="0.3">
      <c r="A224" s="7" t="s">
        <v>951</v>
      </c>
      <c r="B224" s="7" t="s">
        <v>952</v>
      </c>
      <c r="C224" s="7" t="s">
        <v>28</v>
      </c>
      <c r="D224" s="7" t="s">
        <v>779</v>
      </c>
      <c r="E224" s="7" t="s">
        <v>483</v>
      </c>
      <c r="F224" s="7" t="s">
        <v>471</v>
      </c>
      <c r="G224" s="7" t="s">
        <v>491</v>
      </c>
      <c r="H224" s="7" t="s">
        <v>556</v>
      </c>
      <c r="I224" s="7">
        <v>12</v>
      </c>
      <c r="J224" s="7">
        <v>11</v>
      </c>
      <c r="K224" s="7">
        <v>0</v>
      </c>
      <c r="L224" s="7">
        <v>98</v>
      </c>
      <c r="M224" s="7">
        <v>18</v>
      </c>
      <c r="N224" s="7">
        <v>8.91</v>
      </c>
      <c r="O224" s="7">
        <v>129.94999999999999</v>
      </c>
      <c r="P224" s="7">
        <v>0</v>
      </c>
      <c r="Q224" s="7">
        <v>0</v>
      </c>
      <c r="R224" s="7">
        <v>8</v>
      </c>
      <c r="S224" s="7">
        <v>4</v>
      </c>
      <c r="T224" s="7">
        <v>2</v>
      </c>
      <c r="U224" s="7">
        <v>21</v>
      </c>
      <c r="V224" s="7">
        <v>19.3</v>
      </c>
      <c r="W224" s="7">
        <v>8.65</v>
      </c>
      <c r="X224" s="7">
        <v>15.99</v>
      </c>
      <c r="Y224" s="7" t="s">
        <v>538</v>
      </c>
      <c r="Z224" s="7">
        <v>0</v>
      </c>
      <c r="AA224" s="7">
        <v>40.9</v>
      </c>
      <c r="AB224" s="7">
        <v>5</v>
      </c>
      <c r="AC224" s="7">
        <v>0</v>
      </c>
      <c r="AD224" s="7" t="s">
        <v>55</v>
      </c>
      <c r="AE224" s="8" t="s">
        <v>486</v>
      </c>
      <c r="AF224" s="7" t="s">
        <v>181</v>
      </c>
      <c r="AG224" s="7" t="s">
        <v>476</v>
      </c>
      <c r="AH224" s="7">
        <v>2</v>
      </c>
    </row>
    <row r="225" spans="1:34" x14ac:dyDescent="0.3">
      <c r="A225" s="4" t="s">
        <v>953</v>
      </c>
      <c r="B225" s="4" t="s">
        <v>954</v>
      </c>
      <c r="C225" s="4" t="s">
        <v>142</v>
      </c>
      <c r="D225" s="4" t="s">
        <v>684</v>
      </c>
      <c r="E225" s="4" t="s">
        <v>597</v>
      </c>
      <c r="F225" s="4" t="s">
        <v>471</v>
      </c>
      <c r="G225" s="4" t="s">
        <v>491</v>
      </c>
      <c r="H225" s="4" t="s">
        <v>500</v>
      </c>
      <c r="I225" s="4">
        <v>12</v>
      </c>
      <c r="J225" s="4">
        <v>10</v>
      </c>
      <c r="K225" s="4">
        <v>1</v>
      </c>
      <c r="L225" s="4">
        <v>95</v>
      </c>
      <c r="M225" s="4">
        <v>17</v>
      </c>
      <c r="N225" s="4">
        <v>10.56</v>
      </c>
      <c r="O225" s="4">
        <v>93.33</v>
      </c>
      <c r="P225" s="4">
        <v>0</v>
      </c>
      <c r="Q225" s="4">
        <v>0</v>
      </c>
      <c r="R225" s="4">
        <v>7</v>
      </c>
      <c r="S225" s="4">
        <v>4</v>
      </c>
      <c r="T225" s="4">
        <v>2</v>
      </c>
      <c r="U225" s="4">
        <v>6</v>
      </c>
      <c r="V225" s="4">
        <v>32.340000000000003</v>
      </c>
      <c r="W225" s="4">
        <v>9.19</v>
      </c>
      <c r="X225" s="4">
        <v>18.239999999999998</v>
      </c>
      <c r="Y225" s="4" t="s">
        <v>746</v>
      </c>
      <c r="Z225" s="4">
        <v>0</v>
      </c>
      <c r="AA225" s="4">
        <v>41.7</v>
      </c>
      <c r="AB225" s="4">
        <v>9</v>
      </c>
      <c r="AC225" s="4">
        <v>0</v>
      </c>
      <c r="AD225" s="4" t="s">
        <v>28</v>
      </c>
      <c r="AE225" s="3" t="s">
        <v>475</v>
      </c>
      <c r="AF225" s="4" t="s">
        <v>207</v>
      </c>
      <c r="AG225" s="4" t="s">
        <v>476</v>
      </c>
      <c r="AH225" s="4">
        <v>18</v>
      </c>
    </row>
    <row r="226" spans="1:34" x14ac:dyDescent="0.3">
      <c r="A226" s="7" t="s">
        <v>955</v>
      </c>
      <c r="B226" s="7" t="s">
        <v>956</v>
      </c>
      <c r="C226" s="7" t="s">
        <v>20</v>
      </c>
      <c r="D226" s="7" t="s">
        <v>523</v>
      </c>
      <c r="E226" s="7" t="s">
        <v>479</v>
      </c>
      <c r="F226" s="7" t="s">
        <v>490</v>
      </c>
      <c r="G226" s="7" t="s">
        <v>472</v>
      </c>
      <c r="H226" s="7" t="s">
        <v>492</v>
      </c>
      <c r="I226" s="7">
        <v>8</v>
      </c>
      <c r="J226" s="7">
        <v>8</v>
      </c>
      <c r="K226" s="7">
        <v>3</v>
      </c>
      <c r="L226" s="7">
        <v>170</v>
      </c>
      <c r="M226" s="7">
        <v>56</v>
      </c>
      <c r="N226" s="7">
        <v>34</v>
      </c>
      <c r="O226" s="7">
        <v>174.15</v>
      </c>
      <c r="P226" s="7">
        <v>0</v>
      </c>
      <c r="Q226" s="7">
        <v>0</v>
      </c>
      <c r="R226" s="7">
        <v>20</v>
      </c>
      <c r="S226" s="7">
        <v>20</v>
      </c>
      <c r="T226" s="7">
        <v>0</v>
      </c>
      <c r="U226" s="7">
        <v>0</v>
      </c>
      <c r="V226" s="7" t="s">
        <v>493</v>
      </c>
      <c r="W226" s="7" t="s">
        <v>493</v>
      </c>
      <c r="X226" s="7" t="s">
        <v>493</v>
      </c>
      <c r="Y226" s="7" t="s">
        <v>493</v>
      </c>
      <c r="Z226" s="7">
        <v>0</v>
      </c>
      <c r="AA226" s="7">
        <v>0</v>
      </c>
      <c r="AB226" s="7">
        <v>8</v>
      </c>
      <c r="AC226" s="7">
        <v>0</v>
      </c>
      <c r="AD226" s="7" t="s">
        <v>20</v>
      </c>
      <c r="AE226" s="3" t="s">
        <v>475</v>
      </c>
      <c r="AF226" s="7" t="s">
        <v>15</v>
      </c>
      <c r="AG226" s="7" t="s">
        <v>476</v>
      </c>
      <c r="AH226" s="7">
        <v>6</v>
      </c>
    </row>
    <row r="227" spans="1:34" x14ac:dyDescent="0.3">
      <c r="A227" s="4" t="s">
        <v>957</v>
      </c>
      <c r="B227" s="4" t="s">
        <v>958</v>
      </c>
      <c r="C227" s="4" t="s">
        <v>81</v>
      </c>
      <c r="D227" s="4" t="s">
        <v>750</v>
      </c>
      <c r="E227" s="4" t="s">
        <v>536</v>
      </c>
      <c r="F227" s="4" t="s">
        <v>505</v>
      </c>
      <c r="G227" s="4" t="s">
        <v>491</v>
      </c>
      <c r="H227" s="4" t="s">
        <v>492</v>
      </c>
      <c r="I227" s="4">
        <v>8</v>
      </c>
      <c r="J227" s="4">
        <v>8</v>
      </c>
      <c r="K227" s="4">
        <v>0</v>
      </c>
      <c r="L227" s="4">
        <v>216</v>
      </c>
      <c r="M227" s="4">
        <v>36</v>
      </c>
      <c r="N227" s="4">
        <v>27</v>
      </c>
      <c r="O227" s="4">
        <v>169.85</v>
      </c>
      <c r="P227" s="4">
        <v>0</v>
      </c>
      <c r="Q227" s="4">
        <v>0</v>
      </c>
      <c r="R227" s="4">
        <v>21</v>
      </c>
      <c r="S227" s="4">
        <v>23</v>
      </c>
      <c r="T227" s="4">
        <v>0</v>
      </c>
      <c r="U227" s="4">
        <v>0</v>
      </c>
      <c r="V227" s="4" t="s">
        <v>493</v>
      </c>
      <c r="W227" s="4" t="s">
        <v>493</v>
      </c>
      <c r="X227" s="4" t="s">
        <v>493</v>
      </c>
      <c r="Y227" s="4" t="s">
        <v>493</v>
      </c>
      <c r="Z227" s="4">
        <v>0</v>
      </c>
      <c r="AA227" s="4">
        <v>0</v>
      </c>
      <c r="AB227" s="4">
        <v>6</v>
      </c>
      <c r="AC227" s="4">
        <v>2</v>
      </c>
      <c r="AD227" s="4" t="s">
        <v>19</v>
      </c>
      <c r="AE227" s="3" t="s">
        <v>475</v>
      </c>
      <c r="AF227" s="4" t="s">
        <v>213</v>
      </c>
      <c r="AG227" s="4" t="s">
        <v>476</v>
      </c>
      <c r="AH227" s="4">
        <v>3</v>
      </c>
    </row>
    <row r="228" spans="1:34" x14ac:dyDescent="0.3">
      <c r="A228" s="7" t="s">
        <v>959</v>
      </c>
      <c r="B228" s="7" t="s">
        <v>960</v>
      </c>
      <c r="C228" s="7" t="s">
        <v>28</v>
      </c>
      <c r="D228" s="7" t="s">
        <v>779</v>
      </c>
      <c r="E228" s="7" t="s">
        <v>483</v>
      </c>
      <c r="F228" s="7" t="s">
        <v>490</v>
      </c>
      <c r="G228" s="7" t="s">
        <v>491</v>
      </c>
      <c r="H228" s="7" t="s">
        <v>492</v>
      </c>
      <c r="I228" s="7">
        <v>11</v>
      </c>
      <c r="J228" s="7">
        <v>10</v>
      </c>
      <c r="K228" s="7">
        <v>1</v>
      </c>
      <c r="L228" s="7">
        <v>162</v>
      </c>
      <c r="M228" s="7">
        <v>86</v>
      </c>
      <c r="N228" s="7">
        <v>18</v>
      </c>
      <c r="O228" s="7">
        <v>163.77000000000001</v>
      </c>
      <c r="P228" s="7">
        <v>0</v>
      </c>
      <c r="Q228" s="7">
        <v>0</v>
      </c>
      <c r="R228" s="7">
        <v>22</v>
      </c>
      <c r="S228" s="7">
        <v>6</v>
      </c>
      <c r="T228" s="7">
        <v>0</v>
      </c>
      <c r="U228" s="7">
        <v>0</v>
      </c>
      <c r="V228" s="7" t="s">
        <v>493</v>
      </c>
      <c r="W228" s="7" t="s">
        <v>493</v>
      </c>
      <c r="X228" s="7" t="s">
        <v>493</v>
      </c>
      <c r="Y228" s="7" t="s">
        <v>493</v>
      </c>
      <c r="Z228" s="7">
        <v>0</v>
      </c>
      <c r="AA228" s="7">
        <v>0</v>
      </c>
      <c r="AB228" s="7">
        <v>2</v>
      </c>
      <c r="AC228" s="7">
        <v>0</v>
      </c>
      <c r="AD228" s="7" t="s">
        <v>19</v>
      </c>
      <c r="AE228" s="3" t="s">
        <v>475</v>
      </c>
      <c r="AF228" s="7" t="s">
        <v>377</v>
      </c>
      <c r="AG228" s="7" t="s">
        <v>476</v>
      </c>
      <c r="AH228" s="7">
        <v>5</v>
      </c>
    </row>
    <row r="229" spans="1:34" x14ac:dyDescent="0.3">
      <c r="A229" s="4" t="s">
        <v>961</v>
      </c>
      <c r="B229" s="4" t="s">
        <v>962</v>
      </c>
      <c r="C229" s="4" t="s">
        <v>142</v>
      </c>
      <c r="D229" s="4" t="s">
        <v>684</v>
      </c>
      <c r="E229" s="4" t="s">
        <v>483</v>
      </c>
      <c r="F229" s="4" t="s">
        <v>484</v>
      </c>
      <c r="G229" s="4" t="s">
        <v>491</v>
      </c>
      <c r="H229" s="4" t="s">
        <v>480</v>
      </c>
      <c r="I229" s="4">
        <v>9</v>
      </c>
      <c r="J229" s="4">
        <v>9</v>
      </c>
      <c r="K229" s="4">
        <v>2</v>
      </c>
      <c r="L229" s="4">
        <v>308</v>
      </c>
      <c r="M229" s="4">
        <v>97</v>
      </c>
      <c r="N229" s="4">
        <v>44</v>
      </c>
      <c r="O229" s="4">
        <v>180.53</v>
      </c>
      <c r="P229" s="4">
        <v>0</v>
      </c>
      <c r="Q229" s="4">
        <v>0</v>
      </c>
      <c r="R229" s="4">
        <v>38</v>
      </c>
      <c r="S229" s="4">
        <v>15</v>
      </c>
      <c r="T229" s="4">
        <v>0</v>
      </c>
      <c r="U229" s="4">
        <v>7</v>
      </c>
      <c r="V229" s="4">
        <v>14.92</v>
      </c>
      <c r="W229" s="4">
        <v>9.11</v>
      </c>
      <c r="X229" s="4">
        <v>12</v>
      </c>
      <c r="Y229" s="4" t="s">
        <v>806</v>
      </c>
      <c r="Z229" s="4">
        <v>0</v>
      </c>
      <c r="AA229" s="4">
        <v>25.4</v>
      </c>
      <c r="AB229" s="4">
        <v>3</v>
      </c>
      <c r="AC229" s="4">
        <v>0</v>
      </c>
      <c r="AD229" s="4" t="s">
        <v>55</v>
      </c>
      <c r="AE229" s="8" t="s">
        <v>486</v>
      </c>
      <c r="AF229" s="4" t="s">
        <v>397</v>
      </c>
      <c r="AG229" s="4" t="s">
        <v>502</v>
      </c>
      <c r="AH229" s="4">
        <v>7.5</v>
      </c>
    </row>
    <row r="230" spans="1:34" x14ac:dyDescent="0.3">
      <c r="A230" s="7" t="s">
        <v>963</v>
      </c>
      <c r="B230" s="7" t="s">
        <v>964</v>
      </c>
      <c r="C230" s="7" t="s">
        <v>55</v>
      </c>
      <c r="D230" s="7" t="s">
        <v>588</v>
      </c>
      <c r="E230" s="7" t="s">
        <v>470</v>
      </c>
      <c r="F230" s="7" t="s">
        <v>471</v>
      </c>
      <c r="G230" s="7" t="s">
        <v>472</v>
      </c>
      <c r="H230" s="7" t="s">
        <v>556</v>
      </c>
      <c r="I230" s="7">
        <v>10</v>
      </c>
      <c r="J230" s="7">
        <v>8</v>
      </c>
      <c r="K230" s="7">
        <v>3</v>
      </c>
      <c r="L230" s="7">
        <v>220</v>
      </c>
      <c r="M230" s="7">
        <v>27</v>
      </c>
      <c r="N230" s="7">
        <v>44</v>
      </c>
      <c r="O230" s="7">
        <v>122.89</v>
      </c>
      <c r="P230" s="7">
        <v>0</v>
      </c>
      <c r="Q230" s="7">
        <v>0</v>
      </c>
      <c r="R230" s="7">
        <v>18</v>
      </c>
      <c r="S230" s="7">
        <v>11</v>
      </c>
      <c r="T230" s="7">
        <v>2</v>
      </c>
      <c r="U230" s="7">
        <v>11</v>
      </c>
      <c r="V230" s="7">
        <v>24.8</v>
      </c>
      <c r="W230" s="7">
        <v>10.119999999999999</v>
      </c>
      <c r="X230" s="7">
        <v>11.64</v>
      </c>
      <c r="Y230" s="7" t="s">
        <v>799</v>
      </c>
      <c r="Z230" s="7">
        <v>0</v>
      </c>
      <c r="AA230" s="7">
        <v>37.9</v>
      </c>
      <c r="AB230" s="7">
        <v>5</v>
      </c>
      <c r="AC230" s="7">
        <v>0</v>
      </c>
      <c r="AD230" s="7" t="s">
        <v>37</v>
      </c>
      <c r="AE230" s="3" t="s">
        <v>475</v>
      </c>
      <c r="AF230" s="7" t="s">
        <v>357</v>
      </c>
      <c r="AG230" s="7" t="s">
        <v>476</v>
      </c>
      <c r="AH230" s="7">
        <v>0.2</v>
      </c>
    </row>
    <row r="231" spans="1:34" x14ac:dyDescent="0.3">
      <c r="A231" s="4" t="s">
        <v>965</v>
      </c>
      <c r="B231" s="4" t="s">
        <v>966</v>
      </c>
      <c r="C231" s="4" t="s">
        <v>47</v>
      </c>
      <c r="D231" s="4" t="s">
        <v>717</v>
      </c>
      <c r="E231" s="4" t="s">
        <v>489</v>
      </c>
      <c r="F231" s="4" t="s">
        <v>471</v>
      </c>
      <c r="G231" s="4" t="s">
        <v>472</v>
      </c>
      <c r="H231" s="4" t="s">
        <v>500</v>
      </c>
      <c r="I231" s="4">
        <v>9</v>
      </c>
      <c r="J231" s="4">
        <v>7</v>
      </c>
      <c r="K231" s="4">
        <v>0</v>
      </c>
      <c r="L231" s="4">
        <v>210</v>
      </c>
      <c r="M231" s="4">
        <v>26</v>
      </c>
      <c r="N231" s="4">
        <v>30</v>
      </c>
      <c r="O231" s="4">
        <v>107.06</v>
      </c>
      <c r="P231" s="4">
        <v>0</v>
      </c>
      <c r="Q231" s="4">
        <v>0</v>
      </c>
      <c r="R231" s="4">
        <v>17</v>
      </c>
      <c r="S231" s="4">
        <v>10</v>
      </c>
      <c r="T231" s="4">
        <v>2</v>
      </c>
      <c r="U231" s="4">
        <v>20</v>
      </c>
      <c r="V231" s="4">
        <v>22.15</v>
      </c>
      <c r="W231" s="4">
        <v>7.7</v>
      </c>
      <c r="X231" s="4">
        <v>14.58</v>
      </c>
      <c r="Y231" s="4" t="s">
        <v>501</v>
      </c>
      <c r="Z231" s="4">
        <v>1</v>
      </c>
      <c r="AA231" s="4">
        <v>29.5</v>
      </c>
      <c r="AB231" s="4">
        <v>6</v>
      </c>
      <c r="AC231" s="4">
        <v>0</v>
      </c>
      <c r="AD231" s="4" t="s">
        <v>38</v>
      </c>
      <c r="AE231" s="8" t="s">
        <v>486</v>
      </c>
      <c r="AF231" s="4" t="s">
        <v>377</v>
      </c>
      <c r="AG231" s="4" t="s">
        <v>502</v>
      </c>
      <c r="AH231" s="4">
        <v>0.5</v>
      </c>
    </row>
    <row r="232" spans="1:34" x14ac:dyDescent="0.3">
      <c r="A232" s="7" t="s">
        <v>967</v>
      </c>
      <c r="B232" s="7" t="s">
        <v>968</v>
      </c>
      <c r="C232" s="7" t="s">
        <v>37</v>
      </c>
      <c r="D232" s="7" t="s">
        <v>555</v>
      </c>
      <c r="E232" s="7" t="s">
        <v>470</v>
      </c>
      <c r="F232" s="7" t="s">
        <v>471</v>
      </c>
      <c r="G232" s="7" t="s">
        <v>472</v>
      </c>
      <c r="H232" s="7" t="s">
        <v>556</v>
      </c>
      <c r="I232" s="7">
        <v>10</v>
      </c>
      <c r="J232" s="7">
        <v>8</v>
      </c>
      <c r="K232" s="7">
        <v>3</v>
      </c>
      <c r="L232" s="7">
        <v>220</v>
      </c>
      <c r="M232" s="7">
        <v>27</v>
      </c>
      <c r="N232" s="7">
        <v>44</v>
      </c>
      <c r="O232" s="7">
        <v>122.89</v>
      </c>
      <c r="P232" s="7">
        <v>0</v>
      </c>
      <c r="Q232" s="7">
        <v>0</v>
      </c>
      <c r="R232" s="7">
        <v>18</v>
      </c>
      <c r="S232" s="7">
        <v>11</v>
      </c>
      <c r="T232" s="7">
        <v>2</v>
      </c>
      <c r="U232" s="7">
        <v>11</v>
      </c>
      <c r="V232" s="7">
        <v>24.8</v>
      </c>
      <c r="W232" s="7">
        <v>10.119999999999999</v>
      </c>
      <c r="X232" s="7">
        <v>11.64</v>
      </c>
      <c r="Y232" s="7" t="s">
        <v>799</v>
      </c>
      <c r="Z232" s="7">
        <v>0</v>
      </c>
      <c r="AA232" s="7">
        <v>37.9</v>
      </c>
      <c r="AB232" s="7">
        <v>5</v>
      </c>
      <c r="AC232" s="7">
        <v>0</v>
      </c>
      <c r="AD232" s="7" t="s">
        <v>37</v>
      </c>
      <c r="AE232" s="3" t="s">
        <v>475</v>
      </c>
      <c r="AF232" s="7" t="s">
        <v>357</v>
      </c>
      <c r="AG232" s="7" t="s">
        <v>476</v>
      </c>
      <c r="AH232" s="7">
        <v>0.2</v>
      </c>
    </row>
    <row r="233" spans="1:34" x14ac:dyDescent="0.3">
      <c r="A233" s="4" t="s">
        <v>969</v>
      </c>
      <c r="B233" s="4" t="s">
        <v>970</v>
      </c>
      <c r="C233" s="4" t="s">
        <v>20</v>
      </c>
      <c r="D233" s="4" t="s">
        <v>523</v>
      </c>
      <c r="E233" s="4" t="s">
        <v>483</v>
      </c>
      <c r="F233" s="4" t="s">
        <v>471</v>
      </c>
      <c r="G233" s="4" t="s">
        <v>472</v>
      </c>
      <c r="H233" s="4" t="s">
        <v>514</v>
      </c>
      <c r="I233" s="4">
        <v>11</v>
      </c>
      <c r="J233" s="4">
        <v>11</v>
      </c>
      <c r="K233" s="4">
        <v>0</v>
      </c>
      <c r="L233" s="4">
        <v>36</v>
      </c>
      <c r="M233" s="4">
        <v>19</v>
      </c>
      <c r="N233" s="4">
        <v>3.27</v>
      </c>
      <c r="O233" s="4">
        <v>122.14</v>
      </c>
      <c r="P233" s="4">
        <v>0</v>
      </c>
      <c r="Q233" s="4">
        <v>0</v>
      </c>
      <c r="R233" s="4">
        <v>3</v>
      </c>
      <c r="S233" s="4">
        <v>1</v>
      </c>
      <c r="T233" s="4">
        <v>0</v>
      </c>
      <c r="U233" s="4">
        <v>0</v>
      </c>
      <c r="V233" s="4">
        <v>24.33</v>
      </c>
      <c r="W233" s="4">
        <v>7.9</v>
      </c>
      <c r="X233" s="4">
        <v>17.16</v>
      </c>
      <c r="Y233" s="4" t="s">
        <v>701</v>
      </c>
      <c r="Z233" s="4">
        <v>0</v>
      </c>
      <c r="AA233" s="4">
        <v>40.9</v>
      </c>
      <c r="AB233" s="4">
        <v>2</v>
      </c>
      <c r="AC233" s="4">
        <v>0</v>
      </c>
      <c r="AD233" s="4" t="s">
        <v>46</v>
      </c>
      <c r="AE233" s="3" t="s">
        <v>475</v>
      </c>
      <c r="AF233" s="4" t="s">
        <v>279</v>
      </c>
      <c r="AG233" s="4" t="s">
        <v>476</v>
      </c>
      <c r="AH233" s="4">
        <v>21</v>
      </c>
    </row>
    <row r="234" spans="1:34" x14ac:dyDescent="0.3">
      <c r="A234" s="7" t="s">
        <v>971</v>
      </c>
      <c r="B234" s="7" t="s">
        <v>972</v>
      </c>
      <c r="C234" s="7" t="s">
        <v>20</v>
      </c>
      <c r="D234" s="7" t="s">
        <v>523</v>
      </c>
      <c r="E234" s="7" t="s">
        <v>470</v>
      </c>
      <c r="F234" s="7" t="s">
        <v>490</v>
      </c>
      <c r="G234" s="7" t="s">
        <v>472</v>
      </c>
      <c r="H234" s="7" t="s">
        <v>492</v>
      </c>
      <c r="I234" s="7">
        <v>9</v>
      </c>
      <c r="J234" s="7">
        <v>7</v>
      </c>
      <c r="K234" s="7">
        <v>2</v>
      </c>
      <c r="L234" s="7">
        <v>144</v>
      </c>
      <c r="M234" s="7">
        <v>91</v>
      </c>
      <c r="N234" s="7">
        <v>28.8</v>
      </c>
      <c r="O234" s="7">
        <v>149.19999999999999</v>
      </c>
      <c r="P234" s="7">
        <v>0</v>
      </c>
      <c r="Q234" s="7">
        <v>0</v>
      </c>
      <c r="R234" s="7">
        <v>18</v>
      </c>
      <c r="S234" s="7">
        <v>8</v>
      </c>
      <c r="T234" s="7">
        <v>0</v>
      </c>
      <c r="U234" s="7">
        <v>0</v>
      </c>
      <c r="V234" s="7" t="s">
        <v>493</v>
      </c>
      <c r="W234" s="7" t="s">
        <v>493</v>
      </c>
      <c r="X234" s="7" t="s">
        <v>493</v>
      </c>
      <c r="Y234" s="7" t="s">
        <v>493</v>
      </c>
      <c r="Z234" s="7">
        <v>0</v>
      </c>
      <c r="AA234" s="7">
        <v>0</v>
      </c>
      <c r="AB234" s="7">
        <v>2</v>
      </c>
      <c r="AC234" s="7">
        <v>0</v>
      </c>
      <c r="AD234" s="7" t="s">
        <v>28</v>
      </c>
      <c r="AE234" s="8" t="s">
        <v>486</v>
      </c>
      <c r="AF234" s="7" t="s">
        <v>372</v>
      </c>
      <c r="AG234" s="7" t="s">
        <v>476</v>
      </c>
      <c r="AH234" s="7">
        <v>0.5</v>
      </c>
    </row>
    <row r="235" spans="1:34" x14ac:dyDescent="0.3">
      <c r="A235" s="4" t="s">
        <v>973</v>
      </c>
      <c r="B235" s="4" t="s">
        <v>974</v>
      </c>
      <c r="C235" s="4" t="s">
        <v>28</v>
      </c>
      <c r="D235" s="4" t="s">
        <v>779</v>
      </c>
      <c r="E235" s="4" t="s">
        <v>597</v>
      </c>
      <c r="F235" s="4" t="s">
        <v>490</v>
      </c>
      <c r="G235" s="4" t="s">
        <v>472</v>
      </c>
      <c r="H235" s="4" t="s">
        <v>492</v>
      </c>
      <c r="I235" s="4">
        <v>13</v>
      </c>
      <c r="J235" s="4">
        <v>11</v>
      </c>
      <c r="K235" s="4">
        <v>1</v>
      </c>
      <c r="L235" s="4">
        <v>514</v>
      </c>
      <c r="M235" s="4">
        <v>87</v>
      </c>
      <c r="N235" s="4">
        <v>51.4</v>
      </c>
      <c r="O235" s="4">
        <v>147.87</v>
      </c>
      <c r="P235" s="4">
        <v>1</v>
      </c>
      <c r="Q235" s="4">
        <v>0</v>
      </c>
      <c r="R235" s="4">
        <v>54</v>
      </c>
      <c r="S235" s="4">
        <v>21</v>
      </c>
      <c r="T235" s="4">
        <v>1</v>
      </c>
      <c r="U235" s="4">
        <v>0</v>
      </c>
      <c r="V235" s="4" t="s">
        <v>493</v>
      </c>
      <c r="W235" s="4" t="s">
        <v>493</v>
      </c>
      <c r="X235" s="4" t="s">
        <v>493</v>
      </c>
      <c r="Y235" s="4" t="s">
        <v>493</v>
      </c>
      <c r="Z235" s="4">
        <v>0</v>
      </c>
      <c r="AA235" s="4">
        <v>0</v>
      </c>
      <c r="AB235" s="4">
        <v>3</v>
      </c>
      <c r="AC235" s="4">
        <v>0</v>
      </c>
      <c r="AD235" s="4" t="s">
        <v>20</v>
      </c>
      <c r="AE235" s="8" t="s">
        <v>486</v>
      </c>
      <c r="AF235" s="4" t="s">
        <v>411</v>
      </c>
      <c r="AG235" s="4" t="s">
        <v>476</v>
      </c>
      <c r="AH235" s="4">
        <v>5</v>
      </c>
    </row>
    <row r="236" spans="1:34" x14ac:dyDescent="0.3">
      <c r="A236" s="7" t="s">
        <v>975</v>
      </c>
      <c r="B236" s="7" t="s">
        <v>976</v>
      </c>
      <c r="C236" s="7" t="s">
        <v>28</v>
      </c>
      <c r="D236" s="7" t="s">
        <v>779</v>
      </c>
      <c r="E236" s="7" t="s">
        <v>483</v>
      </c>
      <c r="F236" s="7" t="s">
        <v>471</v>
      </c>
      <c r="G236" s="7" t="s">
        <v>491</v>
      </c>
      <c r="H236" s="7" t="s">
        <v>556</v>
      </c>
      <c r="I236" s="7">
        <v>12</v>
      </c>
      <c r="J236" s="7">
        <v>11</v>
      </c>
      <c r="K236" s="7">
        <v>0</v>
      </c>
      <c r="L236" s="7">
        <v>98</v>
      </c>
      <c r="M236" s="7">
        <v>18</v>
      </c>
      <c r="N236" s="7">
        <v>8.91</v>
      </c>
      <c r="O236" s="7">
        <v>129.94999999999999</v>
      </c>
      <c r="P236" s="7">
        <v>0</v>
      </c>
      <c r="Q236" s="7">
        <v>0</v>
      </c>
      <c r="R236" s="7">
        <v>8</v>
      </c>
      <c r="S236" s="7">
        <v>4</v>
      </c>
      <c r="T236" s="7">
        <v>2</v>
      </c>
      <c r="U236" s="7">
        <v>21</v>
      </c>
      <c r="V236" s="7">
        <v>19.3</v>
      </c>
      <c r="W236" s="7">
        <v>8.65</v>
      </c>
      <c r="X236" s="7">
        <v>15.99</v>
      </c>
      <c r="Y236" s="7" t="s">
        <v>538</v>
      </c>
      <c r="Z236" s="7">
        <v>0</v>
      </c>
      <c r="AA236" s="7">
        <v>40.9</v>
      </c>
      <c r="AB236" s="7">
        <v>5</v>
      </c>
      <c r="AC236" s="7">
        <v>0</v>
      </c>
      <c r="AD236" s="7" t="s">
        <v>55</v>
      </c>
      <c r="AE236" s="8" t="s">
        <v>486</v>
      </c>
      <c r="AF236" s="7" t="s">
        <v>181</v>
      </c>
      <c r="AG236" s="7" t="s">
        <v>476</v>
      </c>
      <c r="AH236" s="7">
        <v>2</v>
      </c>
    </row>
    <row r="237" spans="1:34" x14ac:dyDescent="0.3">
      <c r="A237" s="4" t="s">
        <v>977</v>
      </c>
      <c r="B237" s="4" t="s">
        <v>978</v>
      </c>
      <c r="C237" s="4" t="s">
        <v>28</v>
      </c>
      <c r="D237" s="4" t="s">
        <v>779</v>
      </c>
      <c r="E237" s="4" t="s">
        <v>603</v>
      </c>
      <c r="F237" s="4" t="s">
        <v>490</v>
      </c>
      <c r="G237" s="4" t="s">
        <v>491</v>
      </c>
      <c r="H237" s="4" t="s">
        <v>492</v>
      </c>
      <c r="I237" s="4">
        <v>8</v>
      </c>
      <c r="J237" s="4">
        <v>7</v>
      </c>
      <c r="K237" s="4">
        <v>2</v>
      </c>
      <c r="L237" s="4">
        <v>238</v>
      </c>
      <c r="M237" s="4">
        <v>50</v>
      </c>
      <c r="N237" s="4">
        <v>47.6</v>
      </c>
      <c r="O237" s="4">
        <v>143.96</v>
      </c>
      <c r="P237" s="4">
        <v>0</v>
      </c>
      <c r="Q237" s="4">
        <v>0</v>
      </c>
      <c r="R237" s="4">
        <v>30</v>
      </c>
      <c r="S237" s="4">
        <v>9</v>
      </c>
      <c r="T237" s="4">
        <v>0</v>
      </c>
      <c r="U237" s="4">
        <v>0</v>
      </c>
      <c r="V237" s="4" t="s">
        <v>493</v>
      </c>
      <c r="W237" s="4" t="s">
        <v>493</v>
      </c>
      <c r="X237" s="4" t="s">
        <v>493</v>
      </c>
      <c r="Y237" s="4" t="s">
        <v>493</v>
      </c>
      <c r="Z237" s="4">
        <v>0</v>
      </c>
      <c r="AA237" s="4">
        <v>0</v>
      </c>
      <c r="AB237" s="4">
        <v>2</v>
      </c>
      <c r="AC237" s="4">
        <v>0</v>
      </c>
      <c r="AD237" s="4" t="s">
        <v>46</v>
      </c>
      <c r="AE237" s="8" t="s">
        <v>486</v>
      </c>
      <c r="AF237" s="4" t="s">
        <v>43</v>
      </c>
      <c r="AG237" s="4" t="s">
        <v>476</v>
      </c>
      <c r="AH237" s="4">
        <v>10</v>
      </c>
    </row>
    <row r="238" spans="1:34" x14ac:dyDescent="0.3">
      <c r="A238" s="7" t="s">
        <v>979</v>
      </c>
      <c r="B238" s="7" t="s">
        <v>980</v>
      </c>
      <c r="C238" s="7" t="s">
        <v>55</v>
      </c>
      <c r="D238" s="7" t="s">
        <v>588</v>
      </c>
      <c r="E238" s="7" t="s">
        <v>483</v>
      </c>
      <c r="F238" s="7" t="s">
        <v>484</v>
      </c>
      <c r="G238" s="7" t="s">
        <v>472</v>
      </c>
      <c r="H238" s="7" t="s">
        <v>516</v>
      </c>
      <c r="I238" s="7">
        <v>9</v>
      </c>
      <c r="J238" s="7">
        <v>7</v>
      </c>
      <c r="K238" s="7">
        <v>3</v>
      </c>
      <c r="L238" s="7">
        <v>167</v>
      </c>
      <c r="M238" s="7">
        <v>110</v>
      </c>
      <c r="N238" s="7">
        <v>41.75</v>
      </c>
      <c r="O238" s="7">
        <v>111.25</v>
      </c>
      <c r="P238" s="7">
        <v>0</v>
      </c>
      <c r="Q238" s="7">
        <v>0</v>
      </c>
      <c r="R238" s="7">
        <v>21</v>
      </c>
      <c r="S238" s="7">
        <v>6</v>
      </c>
      <c r="T238" s="7">
        <v>0</v>
      </c>
      <c r="U238" s="7">
        <v>8</v>
      </c>
      <c r="V238" s="7">
        <v>15.6</v>
      </c>
      <c r="W238" s="7">
        <v>9.41</v>
      </c>
      <c r="X238" s="7">
        <v>11.55</v>
      </c>
      <c r="Y238" s="7" t="s">
        <v>541</v>
      </c>
      <c r="Z238" s="7">
        <v>0</v>
      </c>
      <c r="AA238" s="7">
        <v>23.3</v>
      </c>
      <c r="AB238" s="7">
        <v>4</v>
      </c>
      <c r="AC238" s="7">
        <v>0</v>
      </c>
      <c r="AD238" s="7" t="s">
        <v>47</v>
      </c>
      <c r="AE238" s="3" t="s">
        <v>475</v>
      </c>
      <c r="AF238" s="7" t="s">
        <v>298</v>
      </c>
      <c r="AG238" s="7" t="s">
        <v>476</v>
      </c>
      <c r="AH238" s="7">
        <v>4</v>
      </c>
    </row>
    <row r="239" spans="1:34" x14ac:dyDescent="0.3">
      <c r="A239" s="4" t="s">
        <v>981</v>
      </c>
      <c r="B239" s="4" t="s">
        <v>982</v>
      </c>
      <c r="C239" s="4" t="s">
        <v>142</v>
      </c>
      <c r="D239" s="4" t="s">
        <v>684</v>
      </c>
      <c r="E239" s="4" t="s">
        <v>559</v>
      </c>
      <c r="F239" s="4" t="s">
        <v>484</v>
      </c>
      <c r="G239" s="4" t="s">
        <v>491</v>
      </c>
      <c r="H239" s="4" t="s">
        <v>480</v>
      </c>
      <c r="I239" s="4">
        <v>13</v>
      </c>
      <c r="J239" s="4">
        <v>13</v>
      </c>
      <c r="K239" s="4">
        <v>1</v>
      </c>
      <c r="L239" s="4">
        <v>551</v>
      </c>
      <c r="M239" s="4">
        <v>44</v>
      </c>
      <c r="N239" s="4">
        <v>45.92</v>
      </c>
      <c r="O239" s="4">
        <v>170.77</v>
      </c>
      <c r="P239" s="4">
        <v>1</v>
      </c>
      <c r="Q239" s="4">
        <v>0</v>
      </c>
      <c r="R239" s="4">
        <v>49</v>
      </c>
      <c r="S239" s="4">
        <v>39</v>
      </c>
      <c r="T239" s="4">
        <v>1</v>
      </c>
      <c r="U239" s="4">
        <v>18</v>
      </c>
      <c r="V239" s="4">
        <v>20.23</v>
      </c>
      <c r="W239" s="4">
        <v>7.37</v>
      </c>
      <c r="X239" s="4">
        <v>10.32</v>
      </c>
      <c r="Y239" s="4" t="s">
        <v>560</v>
      </c>
      <c r="Z239" s="4">
        <v>0</v>
      </c>
      <c r="AA239" s="4">
        <v>35.1</v>
      </c>
      <c r="AB239" s="4">
        <v>8</v>
      </c>
      <c r="AC239" s="4">
        <v>0</v>
      </c>
      <c r="AD239" s="4" t="s">
        <v>28</v>
      </c>
      <c r="AE239" s="3" t="s">
        <v>475</v>
      </c>
      <c r="AF239" s="4" t="s">
        <v>264</v>
      </c>
      <c r="AG239" s="4" t="s">
        <v>476</v>
      </c>
      <c r="AH239" s="4">
        <v>3</v>
      </c>
    </row>
    <row r="240" spans="1:34" x14ac:dyDescent="0.3">
      <c r="A240" s="7" t="s">
        <v>983</v>
      </c>
      <c r="B240" s="7" t="s">
        <v>984</v>
      </c>
      <c r="C240" s="7" t="s">
        <v>20</v>
      </c>
      <c r="D240" s="7" t="s">
        <v>523</v>
      </c>
      <c r="E240" s="7" t="s">
        <v>483</v>
      </c>
      <c r="F240" s="7" t="s">
        <v>490</v>
      </c>
      <c r="G240" s="7" t="s">
        <v>472</v>
      </c>
      <c r="H240" s="7" t="s">
        <v>492</v>
      </c>
      <c r="I240" s="7">
        <v>9</v>
      </c>
      <c r="J240" s="7">
        <v>9</v>
      </c>
      <c r="K240" s="7">
        <v>1</v>
      </c>
      <c r="L240" s="7">
        <v>187</v>
      </c>
      <c r="M240" s="7">
        <v>109</v>
      </c>
      <c r="N240" s="7">
        <v>23.38</v>
      </c>
      <c r="O240" s="7">
        <v>162.22</v>
      </c>
      <c r="P240" s="7">
        <v>0</v>
      </c>
      <c r="Q240" s="7">
        <v>0</v>
      </c>
      <c r="R240" s="7">
        <v>20</v>
      </c>
      <c r="S240" s="7">
        <v>7</v>
      </c>
      <c r="T240" s="7">
        <v>0</v>
      </c>
      <c r="U240" s="7">
        <v>0</v>
      </c>
      <c r="V240" s="7" t="s">
        <v>493</v>
      </c>
      <c r="W240" s="7" t="s">
        <v>493</v>
      </c>
      <c r="X240" s="7" t="s">
        <v>493</v>
      </c>
      <c r="Y240" s="7" t="s">
        <v>493</v>
      </c>
      <c r="Z240" s="7">
        <v>0</v>
      </c>
      <c r="AA240" s="7">
        <v>0</v>
      </c>
      <c r="AB240" s="7">
        <v>9</v>
      </c>
      <c r="AC240" s="7">
        <v>0</v>
      </c>
      <c r="AD240" s="7" t="s">
        <v>37</v>
      </c>
      <c r="AE240" s="8" t="s">
        <v>486</v>
      </c>
      <c r="AF240" s="7" t="s">
        <v>34</v>
      </c>
      <c r="AG240" s="7" t="s">
        <v>476</v>
      </c>
      <c r="AH240" s="7">
        <v>7.5</v>
      </c>
    </row>
    <row r="241" spans="1:34" x14ac:dyDescent="0.3">
      <c r="A241" s="4" t="s">
        <v>985</v>
      </c>
      <c r="B241" s="4" t="s">
        <v>986</v>
      </c>
      <c r="C241" s="4" t="s">
        <v>46</v>
      </c>
      <c r="D241" s="4" t="s">
        <v>622</v>
      </c>
      <c r="E241" s="4" t="s">
        <v>470</v>
      </c>
      <c r="F241" s="4" t="s">
        <v>490</v>
      </c>
      <c r="G241" s="4" t="s">
        <v>472</v>
      </c>
      <c r="H241" s="4" t="s">
        <v>492</v>
      </c>
      <c r="I241" s="4">
        <v>9</v>
      </c>
      <c r="J241" s="4">
        <v>7</v>
      </c>
      <c r="K241" s="4">
        <v>2</v>
      </c>
      <c r="L241" s="4">
        <v>144</v>
      </c>
      <c r="M241" s="4">
        <v>91</v>
      </c>
      <c r="N241" s="4">
        <v>28.8</v>
      </c>
      <c r="O241" s="4">
        <v>149.19999999999999</v>
      </c>
      <c r="P241" s="4">
        <v>0</v>
      </c>
      <c r="Q241" s="4">
        <v>0</v>
      </c>
      <c r="R241" s="4">
        <v>18</v>
      </c>
      <c r="S241" s="4">
        <v>8</v>
      </c>
      <c r="T241" s="4">
        <v>0</v>
      </c>
      <c r="U241" s="4">
        <v>0</v>
      </c>
      <c r="V241" s="4" t="s">
        <v>493</v>
      </c>
      <c r="W241" s="4" t="s">
        <v>493</v>
      </c>
      <c r="X241" s="4" t="s">
        <v>493</v>
      </c>
      <c r="Y241" s="4" t="s">
        <v>493</v>
      </c>
      <c r="Z241" s="4">
        <v>0</v>
      </c>
      <c r="AA241" s="4">
        <v>0</v>
      </c>
      <c r="AB241" s="4">
        <v>2</v>
      </c>
      <c r="AC241" s="4">
        <v>0</v>
      </c>
      <c r="AD241" s="4" t="s">
        <v>28</v>
      </c>
      <c r="AE241" s="8" t="s">
        <v>486</v>
      </c>
      <c r="AF241" s="4" t="s">
        <v>372</v>
      </c>
      <c r="AG241" s="4" t="s">
        <v>476</v>
      </c>
      <c r="AH241" s="4">
        <v>0.5</v>
      </c>
    </row>
    <row r="242" spans="1:34" x14ac:dyDescent="0.3">
      <c r="A242" s="7" t="s">
        <v>987</v>
      </c>
      <c r="B242" s="7" t="s">
        <v>988</v>
      </c>
      <c r="C242" s="7" t="s">
        <v>55</v>
      </c>
      <c r="D242" s="7" t="s">
        <v>588</v>
      </c>
      <c r="E242" s="7" t="s">
        <v>483</v>
      </c>
      <c r="F242" s="7" t="s">
        <v>484</v>
      </c>
      <c r="G242" s="7" t="s">
        <v>491</v>
      </c>
      <c r="H242" s="7" t="s">
        <v>480</v>
      </c>
      <c r="I242" s="7">
        <v>9</v>
      </c>
      <c r="J242" s="7">
        <v>9</v>
      </c>
      <c r="K242" s="7">
        <v>2</v>
      </c>
      <c r="L242" s="7">
        <v>308</v>
      </c>
      <c r="M242" s="7">
        <v>97</v>
      </c>
      <c r="N242" s="7">
        <v>44</v>
      </c>
      <c r="O242" s="7">
        <v>180.53</v>
      </c>
      <c r="P242" s="7">
        <v>0</v>
      </c>
      <c r="Q242" s="7">
        <v>0</v>
      </c>
      <c r="R242" s="7">
        <v>38</v>
      </c>
      <c r="S242" s="7">
        <v>15</v>
      </c>
      <c r="T242" s="7">
        <v>0</v>
      </c>
      <c r="U242" s="7">
        <v>7</v>
      </c>
      <c r="V242" s="7">
        <v>14.92</v>
      </c>
      <c r="W242" s="7">
        <v>9.11</v>
      </c>
      <c r="X242" s="7">
        <v>12</v>
      </c>
      <c r="Y242" s="7" t="s">
        <v>806</v>
      </c>
      <c r="Z242" s="7">
        <v>0</v>
      </c>
      <c r="AA242" s="7">
        <v>25.4</v>
      </c>
      <c r="AB242" s="7">
        <v>3</v>
      </c>
      <c r="AC242" s="7">
        <v>0</v>
      </c>
      <c r="AD242" s="7" t="s">
        <v>55</v>
      </c>
      <c r="AE242" s="8" t="s">
        <v>486</v>
      </c>
      <c r="AF242" s="7" t="s">
        <v>397</v>
      </c>
      <c r="AG242" s="7" t="s">
        <v>502</v>
      </c>
      <c r="AH242" s="7">
        <v>7.5</v>
      </c>
    </row>
    <row r="243" spans="1:34" x14ac:dyDescent="0.3">
      <c r="A243" s="4" t="s">
        <v>989</v>
      </c>
      <c r="B243" s="4" t="s">
        <v>990</v>
      </c>
      <c r="C243" s="4" t="s">
        <v>20</v>
      </c>
      <c r="D243" s="4" t="s">
        <v>523</v>
      </c>
      <c r="E243" s="4" t="s">
        <v>483</v>
      </c>
      <c r="F243" s="4" t="s">
        <v>490</v>
      </c>
      <c r="G243" s="4" t="s">
        <v>491</v>
      </c>
      <c r="H243" s="4" t="s">
        <v>492</v>
      </c>
      <c r="I243" s="4">
        <v>9</v>
      </c>
      <c r="J243" s="4">
        <v>9</v>
      </c>
      <c r="K243" s="4">
        <v>3</v>
      </c>
      <c r="L243" s="4">
        <v>185</v>
      </c>
      <c r="M243" s="4">
        <v>64</v>
      </c>
      <c r="N243" s="4">
        <v>30.83</v>
      </c>
      <c r="O243" s="4">
        <v>176.77</v>
      </c>
      <c r="P243" s="4">
        <v>0</v>
      </c>
      <c r="Q243" s="4">
        <v>0</v>
      </c>
      <c r="R243" s="4">
        <v>17</v>
      </c>
      <c r="S243" s="4">
        <v>7</v>
      </c>
      <c r="T243" s="4">
        <v>0</v>
      </c>
      <c r="U243" s="4">
        <v>0</v>
      </c>
      <c r="V243" s="4" t="s">
        <v>493</v>
      </c>
      <c r="W243" s="4" t="s">
        <v>493</v>
      </c>
      <c r="X243" s="4" t="s">
        <v>493</v>
      </c>
      <c r="Y243" s="4" t="s">
        <v>493</v>
      </c>
      <c r="Z243" s="4">
        <v>0</v>
      </c>
      <c r="AA243" s="4">
        <v>0</v>
      </c>
      <c r="AB243" s="4">
        <v>9</v>
      </c>
      <c r="AC243" s="4">
        <v>0</v>
      </c>
      <c r="AD243" s="4" t="s">
        <v>37</v>
      </c>
      <c r="AE243" s="3" t="s">
        <v>475</v>
      </c>
      <c r="AF243" s="4" t="s">
        <v>247</v>
      </c>
      <c r="AG243" s="4" t="s">
        <v>476</v>
      </c>
      <c r="AH243" s="4">
        <v>1</v>
      </c>
    </row>
    <row r="244" spans="1:34" x14ac:dyDescent="0.3">
      <c r="A244" s="7" t="s">
        <v>991</v>
      </c>
      <c r="B244" s="7" t="s">
        <v>992</v>
      </c>
      <c r="C244" s="7" t="s">
        <v>19</v>
      </c>
      <c r="D244" s="7" t="s">
        <v>469</v>
      </c>
      <c r="E244" s="7" t="s">
        <v>489</v>
      </c>
      <c r="F244" s="7" t="s">
        <v>490</v>
      </c>
      <c r="G244" s="7" t="s">
        <v>491</v>
      </c>
      <c r="H244" s="7" t="s">
        <v>492</v>
      </c>
      <c r="I244" s="7">
        <v>13</v>
      </c>
      <c r="J244" s="7">
        <v>12</v>
      </c>
      <c r="K244" s="7">
        <v>3</v>
      </c>
      <c r="L244" s="7">
        <v>175</v>
      </c>
      <c r="M244" s="7">
        <v>91</v>
      </c>
      <c r="N244" s="7">
        <v>19.440000000000001</v>
      </c>
      <c r="O244" s="7">
        <v>152.94999999999999</v>
      </c>
      <c r="P244" s="7">
        <v>0</v>
      </c>
      <c r="Q244" s="7">
        <v>0</v>
      </c>
      <c r="R244" s="7">
        <v>17</v>
      </c>
      <c r="S244" s="7">
        <v>10</v>
      </c>
      <c r="T244" s="7">
        <v>0</v>
      </c>
      <c r="U244" s="7">
        <v>0</v>
      </c>
      <c r="V244" s="7" t="s">
        <v>493</v>
      </c>
      <c r="W244" s="7" t="s">
        <v>493</v>
      </c>
      <c r="X244" s="7" t="s">
        <v>493</v>
      </c>
      <c r="Y244" s="7" t="s">
        <v>493</v>
      </c>
      <c r="Z244" s="7">
        <v>0</v>
      </c>
      <c r="AA244" s="7">
        <v>0</v>
      </c>
      <c r="AB244" s="7">
        <v>11</v>
      </c>
      <c r="AC244" s="7">
        <v>0</v>
      </c>
      <c r="AD244" s="7" t="s">
        <v>55</v>
      </c>
      <c r="AE244" s="8" t="s">
        <v>486</v>
      </c>
      <c r="AF244" s="7" t="s">
        <v>176</v>
      </c>
      <c r="AG244" s="7" t="s">
        <v>476</v>
      </c>
      <c r="AH244" s="7">
        <v>7.5</v>
      </c>
    </row>
    <row r="245" spans="1:34" x14ac:dyDescent="0.3">
      <c r="A245" s="4" t="s">
        <v>993</v>
      </c>
      <c r="B245" s="4" t="s">
        <v>994</v>
      </c>
      <c r="C245" s="4" t="s">
        <v>28</v>
      </c>
      <c r="D245" s="4" t="s">
        <v>779</v>
      </c>
      <c r="E245" s="4" t="s">
        <v>483</v>
      </c>
      <c r="F245" s="4" t="s">
        <v>490</v>
      </c>
      <c r="G245" s="4" t="s">
        <v>472</v>
      </c>
      <c r="H245" s="4" t="s">
        <v>492</v>
      </c>
      <c r="I245" s="4">
        <v>11</v>
      </c>
      <c r="J245" s="4">
        <v>11</v>
      </c>
      <c r="K245" s="4">
        <v>3</v>
      </c>
      <c r="L245" s="4">
        <v>341</v>
      </c>
      <c r="M245" s="4">
        <v>30</v>
      </c>
      <c r="N245" s="4">
        <v>42.62</v>
      </c>
      <c r="O245" s="4">
        <v>139.97999999999999</v>
      </c>
      <c r="P245" s="4">
        <v>0</v>
      </c>
      <c r="Q245" s="4">
        <v>0</v>
      </c>
      <c r="R245" s="4">
        <v>39</v>
      </c>
      <c r="S245" s="4">
        <v>40</v>
      </c>
      <c r="T245" s="4">
        <v>0</v>
      </c>
      <c r="U245" s="4">
        <v>0</v>
      </c>
      <c r="V245" s="4" t="s">
        <v>493</v>
      </c>
      <c r="W245" s="4" t="s">
        <v>493</v>
      </c>
      <c r="X245" s="4" t="s">
        <v>493</v>
      </c>
      <c r="Y245" s="4" t="s">
        <v>493</v>
      </c>
      <c r="Z245" s="4">
        <v>0</v>
      </c>
      <c r="AA245" s="4">
        <v>0</v>
      </c>
      <c r="AB245" s="4">
        <v>8</v>
      </c>
      <c r="AC245" s="4">
        <v>0</v>
      </c>
      <c r="AD245" s="4" t="s">
        <v>38</v>
      </c>
      <c r="AE245" s="3" t="s">
        <v>475</v>
      </c>
      <c r="AF245" s="4" t="s">
        <v>34</v>
      </c>
      <c r="AG245" s="4" t="s">
        <v>476</v>
      </c>
      <c r="AH245" s="4">
        <v>0.2</v>
      </c>
    </row>
    <row r="246" spans="1:34" x14ac:dyDescent="0.3">
      <c r="A246" s="7" t="s">
        <v>995</v>
      </c>
      <c r="B246" s="7" t="s">
        <v>996</v>
      </c>
      <c r="C246" s="7" t="s">
        <v>19</v>
      </c>
      <c r="D246" s="7" t="s">
        <v>469</v>
      </c>
      <c r="E246" s="7" t="s">
        <v>483</v>
      </c>
      <c r="F246" s="7" t="s">
        <v>484</v>
      </c>
      <c r="G246" s="7" t="s">
        <v>472</v>
      </c>
      <c r="H246" s="7" t="s">
        <v>480</v>
      </c>
      <c r="I246" s="7">
        <v>8</v>
      </c>
      <c r="J246" s="7">
        <v>8</v>
      </c>
      <c r="K246" s="7">
        <v>2</v>
      </c>
      <c r="L246" s="7">
        <v>269</v>
      </c>
      <c r="M246" s="7">
        <v>111</v>
      </c>
      <c r="N246" s="7">
        <v>44.83</v>
      </c>
      <c r="O246" s="7">
        <v>122.04</v>
      </c>
      <c r="P246" s="7">
        <v>0</v>
      </c>
      <c r="Q246" s="7">
        <v>0</v>
      </c>
      <c r="R246" s="7">
        <v>31</v>
      </c>
      <c r="S246" s="7">
        <v>24</v>
      </c>
      <c r="T246" s="7">
        <v>0</v>
      </c>
      <c r="U246" s="7">
        <v>8</v>
      </c>
      <c r="V246" s="7">
        <v>25.44</v>
      </c>
      <c r="W246" s="7">
        <v>8.33</v>
      </c>
      <c r="X246" s="7">
        <v>14.45</v>
      </c>
      <c r="Y246" s="7" t="s">
        <v>725</v>
      </c>
      <c r="Z246" s="7">
        <v>0</v>
      </c>
      <c r="AA246" s="7">
        <v>25.6</v>
      </c>
      <c r="AB246" s="7">
        <v>8</v>
      </c>
      <c r="AC246" s="7">
        <v>0</v>
      </c>
      <c r="AD246" s="7" t="s">
        <v>81</v>
      </c>
      <c r="AE246" s="8" t="s">
        <v>486</v>
      </c>
      <c r="AF246" s="7" t="s">
        <v>78</v>
      </c>
      <c r="AG246" s="7" t="s">
        <v>476</v>
      </c>
      <c r="AH246" s="7">
        <v>18</v>
      </c>
    </row>
    <row r="247" spans="1:34" x14ac:dyDescent="0.3">
      <c r="A247" s="4" t="s">
        <v>997</v>
      </c>
      <c r="B247" s="4" t="s">
        <v>998</v>
      </c>
      <c r="C247" s="4" t="s">
        <v>55</v>
      </c>
      <c r="D247" s="4" t="s">
        <v>588</v>
      </c>
      <c r="E247" s="4" t="s">
        <v>470</v>
      </c>
      <c r="F247" s="4" t="s">
        <v>471</v>
      </c>
      <c r="G247" s="4" t="s">
        <v>472</v>
      </c>
      <c r="H247" s="4" t="s">
        <v>556</v>
      </c>
      <c r="I247" s="4">
        <v>10</v>
      </c>
      <c r="J247" s="4">
        <v>8</v>
      </c>
      <c r="K247" s="4">
        <v>3</v>
      </c>
      <c r="L247" s="4">
        <v>220</v>
      </c>
      <c r="M247" s="4">
        <v>27</v>
      </c>
      <c r="N247" s="4">
        <v>44</v>
      </c>
      <c r="O247" s="4">
        <v>122.89</v>
      </c>
      <c r="P247" s="4">
        <v>0</v>
      </c>
      <c r="Q247" s="4">
        <v>0</v>
      </c>
      <c r="R247" s="4">
        <v>18</v>
      </c>
      <c r="S247" s="4">
        <v>11</v>
      </c>
      <c r="T247" s="4">
        <v>2</v>
      </c>
      <c r="U247" s="4">
        <v>11</v>
      </c>
      <c r="V247" s="4">
        <v>24.8</v>
      </c>
      <c r="W247" s="4">
        <v>10.119999999999999</v>
      </c>
      <c r="X247" s="4">
        <v>11.64</v>
      </c>
      <c r="Y247" s="4" t="s">
        <v>799</v>
      </c>
      <c r="Z247" s="4">
        <v>0</v>
      </c>
      <c r="AA247" s="4">
        <v>37.9</v>
      </c>
      <c r="AB247" s="4">
        <v>5</v>
      </c>
      <c r="AC247" s="4">
        <v>0</v>
      </c>
      <c r="AD247" s="4" t="s">
        <v>37</v>
      </c>
      <c r="AE247" s="3" t="s">
        <v>475</v>
      </c>
      <c r="AF247" s="4" t="s">
        <v>357</v>
      </c>
      <c r="AG247" s="4" t="s">
        <v>476</v>
      </c>
      <c r="AH247" s="4">
        <v>0.2</v>
      </c>
    </row>
    <row r="248" spans="1:34" x14ac:dyDescent="0.3">
      <c r="A248" s="7" t="s">
        <v>999</v>
      </c>
      <c r="B248" s="7" t="s">
        <v>1000</v>
      </c>
      <c r="C248" s="7" t="s">
        <v>37</v>
      </c>
      <c r="D248" s="7" t="s">
        <v>555</v>
      </c>
      <c r="E248" s="7" t="s">
        <v>483</v>
      </c>
      <c r="F248" s="7" t="s">
        <v>490</v>
      </c>
      <c r="G248" s="7" t="s">
        <v>472</v>
      </c>
      <c r="H248" s="7" t="s">
        <v>492</v>
      </c>
      <c r="I248" s="7">
        <v>12</v>
      </c>
      <c r="J248" s="7">
        <v>10</v>
      </c>
      <c r="K248" s="7">
        <v>0</v>
      </c>
      <c r="L248" s="7">
        <v>281</v>
      </c>
      <c r="M248" s="7">
        <v>112</v>
      </c>
      <c r="N248" s="7">
        <v>28.1</v>
      </c>
      <c r="O248" s="7">
        <v>147.11000000000001</v>
      </c>
      <c r="P248" s="7">
        <v>0</v>
      </c>
      <c r="Q248" s="7">
        <v>0</v>
      </c>
      <c r="R248" s="7">
        <v>32</v>
      </c>
      <c r="S248" s="7">
        <v>33</v>
      </c>
      <c r="T248" s="7">
        <v>0</v>
      </c>
      <c r="U248" s="7">
        <v>0</v>
      </c>
      <c r="V248" s="7" t="s">
        <v>493</v>
      </c>
      <c r="W248" s="7" t="s">
        <v>493</v>
      </c>
      <c r="X248" s="7" t="s">
        <v>493</v>
      </c>
      <c r="Y248" s="7" t="s">
        <v>493</v>
      </c>
      <c r="Z248" s="7">
        <v>0</v>
      </c>
      <c r="AA248" s="7">
        <v>0</v>
      </c>
      <c r="AB248" s="7">
        <v>7</v>
      </c>
      <c r="AC248" s="7">
        <v>0</v>
      </c>
      <c r="AD248" s="7" t="s">
        <v>81</v>
      </c>
      <c r="AE248" s="8" t="s">
        <v>486</v>
      </c>
      <c r="AF248" s="7" t="s">
        <v>139</v>
      </c>
      <c r="AG248" s="7" t="s">
        <v>476</v>
      </c>
      <c r="AH248" s="7">
        <v>21</v>
      </c>
    </row>
    <row r="249" spans="1:34" x14ac:dyDescent="0.3">
      <c r="A249" s="4" t="s">
        <v>1001</v>
      </c>
      <c r="B249" s="4" t="s">
        <v>1002</v>
      </c>
      <c r="C249" s="4" t="s">
        <v>81</v>
      </c>
      <c r="D249" s="4" t="s">
        <v>750</v>
      </c>
      <c r="E249" s="4" t="s">
        <v>470</v>
      </c>
      <c r="F249" s="4" t="s">
        <v>490</v>
      </c>
      <c r="G249" s="4" t="s">
        <v>472</v>
      </c>
      <c r="H249" s="4" t="s">
        <v>492</v>
      </c>
      <c r="I249" s="4">
        <v>9</v>
      </c>
      <c r="J249" s="4">
        <v>7</v>
      </c>
      <c r="K249" s="4">
        <v>2</v>
      </c>
      <c r="L249" s="4">
        <v>144</v>
      </c>
      <c r="M249" s="4">
        <v>91</v>
      </c>
      <c r="N249" s="4">
        <v>28.8</v>
      </c>
      <c r="O249" s="4">
        <v>149.19999999999999</v>
      </c>
      <c r="P249" s="4">
        <v>0</v>
      </c>
      <c r="Q249" s="4">
        <v>0</v>
      </c>
      <c r="R249" s="4">
        <v>18</v>
      </c>
      <c r="S249" s="4">
        <v>8</v>
      </c>
      <c r="T249" s="4">
        <v>0</v>
      </c>
      <c r="U249" s="4">
        <v>0</v>
      </c>
      <c r="V249" s="4" t="s">
        <v>493</v>
      </c>
      <c r="W249" s="4" t="s">
        <v>493</v>
      </c>
      <c r="X249" s="4" t="s">
        <v>493</v>
      </c>
      <c r="Y249" s="4" t="s">
        <v>493</v>
      </c>
      <c r="Z249" s="4">
        <v>0</v>
      </c>
      <c r="AA249" s="4">
        <v>0</v>
      </c>
      <c r="AB249" s="4">
        <v>2</v>
      </c>
      <c r="AC249" s="4">
        <v>0</v>
      </c>
      <c r="AD249" s="4" t="s">
        <v>28</v>
      </c>
      <c r="AE249" s="8" t="s">
        <v>486</v>
      </c>
      <c r="AF249" s="4" t="s">
        <v>372</v>
      </c>
      <c r="AG249" s="4" t="s">
        <v>476</v>
      </c>
      <c r="AH249" s="4">
        <v>0.5</v>
      </c>
    </row>
    <row r="250" spans="1:34" x14ac:dyDescent="0.3">
      <c r="A250" s="7" t="s">
        <v>1003</v>
      </c>
      <c r="B250" s="7" t="s">
        <v>1004</v>
      </c>
      <c r="C250" s="7" t="s">
        <v>46</v>
      </c>
      <c r="D250" s="7" t="s">
        <v>622</v>
      </c>
      <c r="E250" s="7" t="s">
        <v>559</v>
      </c>
      <c r="F250" s="7" t="s">
        <v>484</v>
      </c>
      <c r="G250" s="7" t="s">
        <v>491</v>
      </c>
      <c r="H250" s="7" t="s">
        <v>480</v>
      </c>
      <c r="I250" s="7">
        <v>13</v>
      </c>
      <c r="J250" s="7">
        <v>13</v>
      </c>
      <c r="K250" s="7">
        <v>1</v>
      </c>
      <c r="L250" s="7">
        <v>551</v>
      </c>
      <c r="M250" s="7">
        <v>44</v>
      </c>
      <c r="N250" s="7">
        <v>45.92</v>
      </c>
      <c r="O250" s="7">
        <v>170.77</v>
      </c>
      <c r="P250" s="7">
        <v>1</v>
      </c>
      <c r="Q250" s="7">
        <v>0</v>
      </c>
      <c r="R250" s="7">
        <v>49</v>
      </c>
      <c r="S250" s="7">
        <v>39</v>
      </c>
      <c r="T250" s="7">
        <v>1</v>
      </c>
      <c r="U250" s="7">
        <v>18</v>
      </c>
      <c r="V250" s="7">
        <v>20.23</v>
      </c>
      <c r="W250" s="7">
        <v>7.37</v>
      </c>
      <c r="X250" s="7">
        <v>10.32</v>
      </c>
      <c r="Y250" s="7" t="s">
        <v>560</v>
      </c>
      <c r="Z250" s="7">
        <v>0</v>
      </c>
      <c r="AA250" s="7">
        <v>35.1</v>
      </c>
      <c r="AB250" s="7">
        <v>8</v>
      </c>
      <c r="AC250" s="7">
        <v>0</v>
      </c>
      <c r="AD250" s="7" t="s">
        <v>28</v>
      </c>
      <c r="AE250" s="3" t="s">
        <v>475</v>
      </c>
      <c r="AF250" s="7" t="s">
        <v>264</v>
      </c>
      <c r="AG250" s="7" t="s">
        <v>476</v>
      </c>
      <c r="AH250" s="7">
        <v>3</v>
      </c>
    </row>
    <row r="251" spans="1:34" x14ac:dyDescent="0.3">
      <c r="A251" s="4" t="s">
        <v>1005</v>
      </c>
      <c r="B251" s="4" t="s">
        <v>1006</v>
      </c>
      <c r="C251" s="4" t="s">
        <v>28</v>
      </c>
      <c r="D251" s="4" t="s">
        <v>779</v>
      </c>
      <c r="E251" s="4" t="s">
        <v>483</v>
      </c>
      <c r="F251" s="4" t="s">
        <v>490</v>
      </c>
      <c r="G251" s="4" t="s">
        <v>491</v>
      </c>
      <c r="H251" s="4" t="s">
        <v>492</v>
      </c>
      <c r="I251" s="4">
        <v>11</v>
      </c>
      <c r="J251" s="4">
        <v>10</v>
      </c>
      <c r="K251" s="4">
        <v>1</v>
      </c>
      <c r="L251" s="4">
        <v>382</v>
      </c>
      <c r="M251" s="4">
        <v>33</v>
      </c>
      <c r="N251" s="4">
        <v>42.44</v>
      </c>
      <c r="O251" s="4">
        <v>176.49</v>
      </c>
      <c r="P251" s="4">
        <v>0</v>
      </c>
      <c r="Q251" s="4">
        <v>0</v>
      </c>
      <c r="R251" s="4">
        <v>47</v>
      </c>
      <c r="S251" s="4">
        <v>24</v>
      </c>
      <c r="T251" s="4">
        <v>0</v>
      </c>
      <c r="U251" s="4">
        <v>0</v>
      </c>
      <c r="V251" s="4" t="s">
        <v>493</v>
      </c>
      <c r="W251" s="4" t="s">
        <v>493</v>
      </c>
      <c r="X251" s="4" t="s">
        <v>493</v>
      </c>
      <c r="Y251" s="4" t="s">
        <v>493</v>
      </c>
      <c r="Z251" s="4">
        <v>0</v>
      </c>
      <c r="AA251" s="4">
        <v>0</v>
      </c>
      <c r="AB251" s="4">
        <v>7</v>
      </c>
      <c r="AC251" s="4">
        <v>0</v>
      </c>
      <c r="AD251" s="4" t="s">
        <v>142</v>
      </c>
      <c r="AE251" s="8" t="s">
        <v>486</v>
      </c>
      <c r="AF251" s="4" t="s">
        <v>253</v>
      </c>
      <c r="AG251" s="4" t="s">
        <v>502</v>
      </c>
      <c r="AH251" s="4">
        <v>0.5</v>
      </c>
    </row>
    <row r="252" spans="1:34" x14ac:dyDescent="0.3">
      <c r="A252" s="7" t="s">
        <v>1007</v>
      </c>
      <c r="B252" s="7" t="s">
        <v>1008</v>
      </c>
      <c r="C252" s="7" t="s">
        <v>46</v>
      </c>
      <c r="D252" s="7" t="s">
        <v>622</v>
      </c>
      <c r="E252" s="7" t="s">
        <v>483</v>
      </c>
      <c r="F252" s="7" t="s">
        <v>490</v>
      </c>
      <c r="G252" s="7" t="s">
        <v>472</v>
      </c>
      <c r="H252" s="7" t="s">
        <v>492</v>
      </c>
      <c r="I252" s="7">
        <v>11</v>
      </c>
      <c r="J252" s="7">
        <v>11</v>
      </c>
      <c r="K252" s="7">
        <v>3</v>
      </c>
      <c r="L252" s="7">
        <v>234</v>
      </c>
      <c r="M252" s="7">
        <v>101</v>
      </c>
      <c r="N252" s="7">
        <v>29.25</v>
      </c>
      <c r="O252" s="7">
        <v>183.3</v>
      </c>
      <c r="P252" s="7">
        <v>0</v>
      </c>
      <c r="Q252" s="7">
        <v>0</v>
      </c>
      <c r="R252" s="7">
        <v>25</v>
      </c>
      <c r="S252" s="7">
        <v>16</v>
      </c>
      <c r="T252" s="7">
        <v>0</v>
      </c>
      <c r="U252" s="7">
        <v>0</v>
      </c>
      <c r="V252" s="7" t="s">
        <v>493</v>
      </c>
      <c r="W252" s="7" t="s">
        <v>493</v>
      </c>
      <c r="X252" s="7" t="s">
        <v>493</v>
      </c>
      <c r="Y252" s="7" t="s">
        <v>493</v>
      </c>
      <c r="Z252" s="7">
        <v>0</v>
      </c>
      <c r="AA252" s="7">
        <v>0</v>
      </c>
      <c r="AB252" s="7">
        <v>7</v>
      </c>
      <c r="AC252" s="7">
        <v>0</v>
      </c>
      <c r="AD252" s="7" t="s">
        <v>46</v>
      </c>
      <c r="AE252" s="3" t="s">
        <v>475</v>
      </c>
      <c r="AF252" s="7" t="s">
        <v>103</v>
      </c>
      <c r="AG252" s="7" t="s">
        <v>476</v>
      </c>
      <c r="AH252" s="7">
        <v>1</v>
      </c>
    </row>
    <row r="253" spans="1:34" x14ac:dyDescent="0.3">
      <c r="A253" s="4" t="s">
        <v>1009</v>
      </c>
      <c r="B253" s="4" t="s">
        <v>1010</v>
      </c>
      <c r="C253" s="4" t="s">
        <v>55</v>
      </c>
      <c r="D253" s="4" t="s">
        <v>588</v>
      </c>
      <c r="E253" s="4" t="s">
        <v>483</v>
      </c>
      <c r="F253" s="4" t="s">
        <v>484</v>
      </c>
      <c r="G253" s="4" t="s">
        <v>472</v>
      </c>
      <c r="H253" s="4" t="s">
        <v>480</v>
      </c>
      <c r="I253" s="4">
        <v>13</v>
      </c>
      <c r="J253" s="4">
        <v>13</v>
      </c>
      <c r="K253" s="4">
        <v>1</v>
      </c>
      <c r="L253" s="4">
        <v>645</v>
      </c>
      <c r="M253" s="4">
        <v>54</v>
      </c>
      <c r="N253" s="4">
        <v>53.75</v>
      </c>
      <c r="O253" s="4">
        <v>147.24</v>
      </c>
      <c r="P253" s="4">
        <v>1</v>
      </c>
      <c r="Q253" s="4">
        <v>0</v>
      </c>
      <c r="R253" s="4">
        <v>84</v>
      </c>
      <c r="S253" s="4">
        <v>49</v>
      </c>
      <c r="T253" s="4">
        <v>0</v>
      </c>
      <c r="U253" s="4">
        <v>6</v>
      </c>
      <c r="V253" s="4">
        <v>34.61</v>
      </c>
      <c r="W253" s="4">
        <v>7.28</v>
      </c>
      <c r="X253" s="4">
        <v>18.61</v>
      </c>
      <c r="Y253" s="4" t="s">
        <v>581</v>
      </c>
      <c r="Z253" s="4">
        <v>0</v>
      </c>
      <c r="AA253" s="4">
        <v>42.9</v>
      </c>
      <c r="AB253" s="4">
        <v>8</v>
      </c>
      <c r="AC253" s="4">
        <v>0</v>
      </c>
      <c r="AD253" s="4" t="s">
        <v>46</v>
      </c>
      <c r="AE253" s="3" t="s">
        <v>475</v>
      </c>
      <c r="AF253" s="4" t="s">
        <v>103</v>
      </c>
      <c r="AG253" s="4" t="s">
        <v>476</v>
      </c>
      <c r="AH253" s="4">
        <v>2</v>
      </c>
    </row>
    <row r="254" spans="1:34" x14ac:dyDescent="0.3">
      <c r="A254" s="7" t="s">
        <v>1011</v>
      </c>
      <c r="B254" s="7" t="s">
        <v>1012</v>
      </c>
      <c r="C254" s="7" t="s">
        <v>55</v>
      </c>
      <c r="D254" s="7" t="s">
        <v>588</v>
      </c>
      <c r="E254" s="7" t="s">
        <v>559</v>
      </c>
      <c r="F254" s="7" t="s">
        <v>490</v>
      </c>
      <c r="G254" s="7" t="s">
        <v>472</v>
      </c>
      <c r="H254" s="7" t="s">
        <v>492</v>
      </c>
      <c r="I254" s="7">
        <v>12</v>
      </c>
      <c r="J254" s="7">
        <v>10</v>
      </c>
      <c r="K254" s="7">
        <v>3</v>
      </c>
      <c r="L254" s="7">
        <v>324</v>
      </c>
      <c r="M254" s="7">
        <v>69</v>
      </c>
      <c r="N254" s="7">
        <v>46.29</v>
      </c>
      <c r="O254" s="7">
        <v>154.68</v>
      </c>
      <c r="P254" s="7">
        <v>0</v>
      </c>
      <c r="Q254" s="7">
        <v>0</v>
      </c>
      <c r="R254" s="7">
        <v>39</v>
      </c>
      <c r="S254" s="7">
        <v>38</v>
      </c>
      <c r="T254" s="7">
        <v>0</v>
      </c>
      <c r="U254" s="7">
        <v>0</v>
      </c>
      <c r="V254" s="7" t="s">
        <v>493</v>
      </c>
      <c r="W254" s="7" t="s">
        <v>493</v>
      </c>
      <c r="X254" s="7" t="s">
        <v>493</v>
      </c>
      <c r="Y254" s="7" t="s">
        <v>493</v>
      </c>
      <c r="Z254" s="7">
        <v>0</v>
      </c>
      <c r="AA254" s="7">
        <v>0</v>
      </c>
      <c r="AB254" s="7">
        <v>4</v>
      </c>
      <c r="AC254" s="7">
        <v>0</v>
      </c>
      <c r="AD254" s="7" t="s">
        <v>46</v>
      </c>
      <c r="AE254" s="8" t="s">
        <v>486</v>
      </c>
      <c r="AF254" s="7" t="s">
        <v>363</v>
      </c>
      <c r="AG254" s="7" t="s">
        <v>476</v>
      </c>
      <c r="AH254" s="7">
        <v>1.5</v>
      </c>
    </row>
    <row r="255" spans="1:34" x14ac:dyDescent="0.3">
      <c r="A255" s="4" t="s">
        <v>1013</v>
      </c>
      <c r="B255" s="4" t="s">
        <v>1014</v>
      </c>
      <c r="C255" s="4" t="s">
        <v>38</v>
      </c>
      <c r="D255" s="4" t="s">
        <v>654</v>
      </c>
      <c r="E255" s="4" t="s">
        <v>536</v>
      </c>
      <c r="F255" s="4" t="s">
        <v>484</v>
      </c>
      <c r="G255" s="4" t="s">
        <v>472</v>
      </c>
      <c r="H255" s="4" t="s">
        <v>473</v>
      </c>
      <c r="I255" s="4">
        <v>8</v>
      </c>
      <c r="J255" s="4">
        <v>8</v>
      </c>
      <c r="K255" s="4">
        <v>2</v>
      </c>
      <c r="L255" s="4">
        <v>111</v>
      </c>
      <c r="M255" s="4">
        <v>82</v>
      </c>
      <c r="N255" s="4">
        <v>18.5</v>
      </c>
      <c r="O255" s="4">
        <v>150.5</v>
      </c>
      <c r="P255" s="4">
        <v>0</v>
      </c>
      <c r="Q255" s="4">
        <v>0</v>
      </c>
      <c r="R255" s="4">
        <v>12</v>
      </c>
      <c r="S255" s="4">
        <v>6</v>
      </c>
      <c r="T255" s="4">
        <v>0</v>
      </c>
      <c r="U255" s="4">
        <v>15</v>
      </c>
      <c r="V255" s="4">
        <v>33.26</v>
      </c>
      <c r="W255" s="4">
        <v>7.35</v>
      </c>
      <c r="X255" s="4">
        <v>14.54</v>
      </c>
      <c r="Y255" s="4" t="s">
        <v>538</v>
      </c>
      <c r="Z255" s="4">
        <v>0</v>
      </c>
      <c r="AA255" s="4">
        <v>27</v>
      </c>
      <c r="AB255" s="4">
        <v>2</v>
      </c>
      <c r="AC255" s="4">
        <v>0</v>
      </c>
      <c r="AD255" s="4" t="s">
        <v>55</v>
      </c>
      <c r="AE255" s="3" t="s">
        <v>475</v>
      </c>
      <c r="AF255" s="4" t="s">
        <v>108</v>
      </c>
      <c r="AG255" s="4" t="s">
        <v>502</v>
      </c>
      <c r="AH255" s="4">
        <v>5</v>
      </c>
    </row>
    <row r="256" spans="1:34" x14ac:dyDescent="0.3">
      <c r="A256" s="7" t="s">
        <v>1015</v>
      </c>
      <c r="B256" s="7" t="s">
        <v>1016</v>
      </c>
      <c r="C256" s="7" t="s">
        <v>47</v>
      </c>
      <c r="D256" s="7" t="s">
        <v>717</v>
      </c>
      <c r="E256" s="7" t="s">
        <v>483</v>
      </c>
      <c r="F256" s="7" t="s">
        <v>484</v>
      </c>
      <c r="G256" s="7" t="s">
        <v>491</v>
      </c>
      <c r="H256" s="7" t="s">
        <v>516</v>
      </c>
      <c r="I256" s="7">
        <v>13</v>
      </c>
      <c r="J256" s="7">
        <v>13</v>
      </c>
      <c r="K256" s="7">
        <v>0</v>
      </c>
      <c r="L256" s="7">
        <v>687</v>
      </c>
      <c r="M256" s="7">
        <v>42</v>
      </c>
      <c r="N256" s="7">
        <v>52.85</v>
      </c>
      <c r="O256" s="7">
        <v>167.89</v>
      </c>
      <c r="P256" s="7">
        <v>1</v>
      </c>
      <c r="Q256" s="7">
        <v>0</v>
      </c>
      <c r="R256" s="7">
        <v>74</v>
      </c>
      <c r="S256" s="7">
        <v>38</v>
      </c>
      <c r="T256" s="7">
        <v>1</v>
      </c>
      <c r="U256" s="7">
        <v>22</v>
      </c>
      <c r="V256" s="7">
        <v>15.25</v>
      </c>
      <c r="W256" s="7">
        <v>7.43</v>
      </c>
      <c r="X256" s="7">
        <v>12.26</v>
      </c>
      <c r="Y256" s="7" t="s">
        <v>637</v>
      </c>
      <c r="Z256" s="7">
        <v>0</v>
      </c>
      <c r="AA256" s="7">
        <v>43.8</v>
      </c>
      <c r="AB256" s="7">
        <v>3</v>
      </c>
      <c r="AC256" s="7">
        <v>0</v>
      </c>
      <c r="AD256" s="7" t="s">
        <v>55</v>
      </c>
      <c r="AE256" s="8" t="s">
        <v>486</v>
      </c>
      <c r="AF256" s="7" t="s">
        <v>165</v>
      </c>
      <c r="AG256" s="7" t="s">
        <v>476</v>
      </c>
      <c r="AH256" s="7">
        <v>6</v>
      </c>
    </row>
    <row r="257" spans="1:34" x14ac:dyDescent="0.3">
      <c r="A257" s="4" t="s">
        <v>1017</v>
      </c>
      <c r="B257" s="4" t="s">
        <v>1018</v>
      </c>
      <c r="C257" s="4" t="s">
        <v>142</v>
      </c>
      <c r="D257" s="4" t="s">
        <v>684</v>
      </c>
      <c r="E257" s="4" t="s">
        <v>543</v>
      </c>
      <c r="F257" s="4" t="s">
        <v>490</v>
      </c>
      <c r="G257" s="4" t="s">
        <v>491</v>
      </c>
      <c r="H257" s="4" t="s">
        <v>492</v>
      </c>
      <c r="I257" s="4">
        <v>9</v>
      </c>
      <c r="J257" s="4">
        <v>9</v>
      </c>
      <c r="K257" s="4">
        <v>3</v>
      </c>
      <c r="L257" s="4">
        <v>173</v>
      </c>
      <c r="M257" s="4">
        <v>99</v>
      </c>
      <c r="N257" s="4">
        <v>28.83</v>
      </c>
      <c r="O257" s="4">
        <v>126.79</v>
      </c>
      <c r="P257" s="4">
        <v>0</v>
      </c>
      <c r="Q257" s="4">
        <v>0</v>
      </c>
      <c r="R257" s="4">
        <v>22</v>
      </c>
      <c r="S257" s="4">
        <v>19</v>
      </c>
      <c r="T257" s="4">
        <v>0</v>
      </c>
      <c r="U257" s="4">
        <v>0</v>
      </c>
      <c r="V257" s="4" t="s">
        <v>493</v>
      </c>
      <c r="W257" s="4" t="s">
        <v>493</v>
      </c>
      <c r="X257" s="4" t="s">
        <v>493</v>
      </c>
      <c r="Y257" s="4" t="s">
        <v>493</v>
      </c>
      <c r="Z257" s="4">
        <v>0</v>
      </c>
      <c r="AA257" s="4">
        <v>0</v>
      </c>
      <c r="AB257" s="4">
        <v>3</v>
      </c>
      <c r="AC257" s="4">
        <v>0</v>
      </c>
      <c r="AD257" s="4" t="s">
        <v>20</v>
      </c>
      <c r="AE257" s="3" t="s">
        <v>475</v>
      </c>
      <c r="AF257" s="4" t="s">
        <v>269</v>
      </c>
      <c r="AG257" s="4" t="s">
        <v>476</v>
      </c>
      <c r="AH257" s="4">
        <v>7.5</v>
      </c>
    </row>
    <row r="258" spans="1:34" x14ac:dyDescent="0.3">
      <c r="A258" s="7" t="s">
        <v>1019</v>
      </c>
      <c r="B258" s="7" t="s">
        <v>1020</v>
      </c>
      <c r="C258" s="7" t="s">
        <v>47</v>
      </c>
      <c r="D258" s="7" t="s">
        <v>717</v>
      </c>
      <c r="E258" s="7" t="s">
        <v>543</v>
      </c>
      <c r="F258" s="7" t="s">
        <v>490</v>
      </c>
      <c r="G258" s="7" t="s">
        <v>491</v>
      </c>
      <c r="H258" s="7" t="s">
        <v>492</v>
      </c>
      <c r="I258" s="7">
        <v>9</v>
      </c>
      <c r="J258" s="7">
        <v>9</v>
      </c>
      <c r="K258" s="7">
        <v>3</v>
      </c>
      <c r="L258" s="7">
        <v>173</v>
      </c>
      <c r="M258" s="7">
        <v>99</v>
      </c>
      <c r="N258" s="7">
        <v>28.83</v>
      </c>
      <c r="O258" s="7">
        <v>126.79</v>
      </c>
      <c r="P258" s="7">
        <v>0</v>
      </c>
      <c r="Q258" s="7">
        <v>0</v>
      </c>
      <c r="R258" s="7">
        <v>22</v>
      </c>
      <c r="S258" s="7">
        <v>19</v>
      </c>
      <c r="T258" s="7">
        <v>0</v>
      </c>
      <c r="U258" s="7">
        <v>0</v>
      </c>
      <c r="V258" s="7" t="s">
        <v>493</v>
      </c>
      <c r="W258" s="7" t="s">
        <v>493</v>
      </c>
      <c r="X258" s="7" t="s">
        <v>493</v>
      </c>
      <c r="Y258" s="7" t="s">
        <v>493</v>
      </c>
      <c r="Z258" s="7">
        <v>0</v>
      </c>
      <c r="AA258" s="7">
        <v>0</v>
      </c>
      <c r="AB258" s="7">
        <v>3</v>
      </c>
      <c r="AC258" s="7">
        <v>0</v>
      </c>
      <c r="AD258" s="7" t="s">
        <v>20</v>
      </c>
      <c r="AE258" s="3" t="s">
        <v>475</v>
      </c>
      <c r="AF258" s="7" t="s">
        <v>269</v>
      </c>
      <c r="AG258" s="7" t="s">
        <v>476</v>
      </c>
      <c r="AH258" s="7">
        <v>7.5</v>
      </c>
    </row>
    <row r="259" spans="1:34" x14ac:dyDescent="0.3">
      <c r="A259" s="4" t="s">
        <v>1021</v>
      </c>
      <c r="B259" s="4" t="s">
        <v>1022</v>
      </c>
      <c r="C259" s="4" t="s">
        <v>55</v>
      </c>
      <c r="D259" s="4" t="s">
        <v>588</v>
      </c>
      <c r="E259" s="4" t="s">
        <v>483</v>
      </c>
      <c r="F259" s="4" t="s">
        <v>471</v>
      </c>
      <c r="G259" s="4" t="s">
        <v>472</v>
      </c>
      <c r="H259" s="4" t="s">
        <v>514</v>
      </c>
      <c r="I259" s="4">
        <v>11</v>
      </c>
      <c r="J259" s="4">
        <v>11</v>
      </c>
      <c r="K259" s="4">
        <v>0</v>
      </c>
      <c r="L259" s="4">
        <v>36</v>
      </c>
      <c r="M259" s="4">
        <v>19</v>
      </c>
      <c r="N259" s="4">
        <v>3.27</v>
      </c>
      <c r="O259" s="4">
        <v>122.14</v>
      </c>
      <c r="P259" s="4">
        <v>0</v>
      </c>
      <c r="Q259" s="4">
        <v>0</v>
      </c>
      <c r="R259" s="4">
        <v>3</v>
      </c>
      <c r="S259" s="4">
        <v>1</v>
      </c>
      <c r="T259" s="4">
        <v>0</v>
      </c>
      <c r="U259" s="4">
        <v>0</v>
      </c>
      <c r="V259" s="4">
        <v>24.33</v>
      </c>
      <c r="W259" s="4">
        <v>7.9</v>
      </c>
      <c r="X259" s="4">
        <v>17.16</v>
      </c>
      <c r="Y259" s="4" t="s">
        <v>701</v>
      </c>
      <c r="Z259" s="4">
        <v>0</v>
      </c>
      <c r="AA259" s="4">
        <v>40.9</v>
      </c>
      <c r="AB259" s="4">
        <v>2</v>
      </c>
      <c r="AC259" s="4">
        <v>0</v>
      </c>
      <c r="AD259" s="4" t="s">
        <v>46</v>
      </c>
      <c r="AE259" s="3" t="s">
        <v>475</v>
      </c>
      <c r="AF259" s="4" t="s">
        <v>279</v>
      </c>
      <c r="AG259" s="4" t="s">
        <v>476</v>
      </c>
      <c r="AH259" s="4">
        <v>21</v>
      </c>
    </row>
    <row r="260" spans="1:34" x14ac:dyDescent="0.3">
      <c r="A260" s="7" t="s">
        <v>1023</v>
      </c>
      <c r="B260" s="7" t="s">
        <v>1024</v>
      </c>
      <c r="C260" s="7" t="s">
        <v>47</v>
      </c>
      <c r="D260" s="7" t="s">
        <v>717</v>
      </c>
      <c r="E260" s="7" t="s">
        <v>483</v>
      </c>
      <c r="F260" s="7" t="s">
        <v>490</v>
      </c>
      <c r="G260" s="7" t="s">
        <v>472</v>
      </c>
      <c r="H260" s="7" t="s">
        <v>492</v>
      </c>
      <c r="I260" s="7">
        <v>13</v>
      </c>
      <c r="J260" s="7">
        <v>12</v>
      </c>
      <c r="K260" s="7">
        <v>3</v>
      </c>
      <c r="L260" s="7">
        <v>314</v>
      </c>
      <c r="M260" s="7">
        <v>33</v>
      </c>
      <c r="N260" s="7">
        <v>34.89</v>
      </c>
      <c r="O260" s="7">
        <v>167.53</v>
      </c>
      <c r="P260" s="7">
        <v>0</v>
      </c>
      <c r="Q260" s="7">
        <v>0</v>
      </c>
      <c r="R260" s="7">
        <v>31</v>
      </c>
      <c r="S260" s="7">
        <v>31</v>
      </c>
      <c r="T260" s="7">
        <v>0</v>
      </c>
      <c r="U260" s="7">
        <v>0</v>
      </c>
      <c r="V260" s="7" t="s">
        <v>493</v>
      </c>
      <c r="W260" s="7" t="s">
        <v>493</v>
      </c>
      <c r="X260" s="7" t="s">
        <v>493</v>
      </c>
      <c r="Y260" s="7" t="s">
        <v>493</v>
      </c>
      <c r="Z260" s="7">
        <v>0</v>
      </c>
      <c r="AA260" s="7">
        <v>0</v>
      </c>
      <c r="AB260" s="7">
        <v>11</v>
      </c>
      <c r="AC260" s="7">
        <v>0</v>
      </c>
      <c r="AD260" s="7" t="s">
        <v>81</v>
      </c>
      <c r="AE260" s="3" t="s">
        <v>475</v>
      </c>
      <c r="AF260" s="7" t="s">
        <v>122</v>
      </c>
      <c r="AG260" s="7" t="s">
        <v>476</v>
      </c>
      <c r="AH260" s="7">
        <v>2</v>
      </c>
    </row>
    <row r="261" spans="1:34" x14ac:dyDescent="0.3">
      <c r="A261" s="4" t="s">
        <v>1025</v>
      </c>
      <c r="B261" s="4" t="s">
        <v>1026</v>
      </c>
      <c r="C261" s="4" t="s">
        <v>38</v>
      </c>
      <c r="D261" s="4" t="s">
        <v>654</v>
      </c>
      <c r="E261" s="4" t="s">
        <v>543</v>
      </c>
      <c r="F261" s="4" t="s">
        <v>490</v>
      </c>
      <c r="G261" s="4" t="s">
        <v>491</v>
      </c>
      <c r="H261" s="4" t="s">
        <v>492</v>
      </c>
      <c r="I261" s="4">
        <v>9</v>
      </c>
      <c r="J261" s="4">
        <v>9</v>
      </c>
      <c r="K261" s="4">
        <v>3</v>
      </c>
      <c r="L261" s="4">
        <v>173</v>
      </c>
      <c r="M261" s="4">
        <v>99</v>
      </c>
      <c r="N261" s="4">
        <v>28.83</v>
      </c>
      <c r="O261" s="4">
        <v>126.79</v>
      </c>
      <c r="P261" s="4">
        <v>0</v>
      </c>
      <c r="Q261" s="4">
        <v>0</v>
      </c>
      <c r="R261" s="4">
        <v>22</v>
      </c>
      <c r="S261" s="4">
        <v>19</v>
      </c>
      <c r="T261" s="4">
        <v>0</v>
      </c>
      <c r="U261" s="4">
        <v>0</v>
      </c>
      <c r="V261" s="4" t="s">
        <v>493</v>
      </c>
      <c r="W261" s="4" t="s">
        <v>493</v>
      </c>
      <c r="X261" s="4" t="s">
        <v>493</v>
      </c>
      <c r="Y261" s="4" t="s">
        <v>493</v>
      </c>
      <c r="Z261" s="4">
        <v>0</v>
      </c>
      <c r="AA261" s="4">
        <v>0</v>
      </c>
      <c r="AB261" s="4">
        <v>3</v>
      </c>
      <c r="AC261" s="4">
        <v>0</v>
      </c>
      <c r="AD261" s="4" t="s">
        <v>20</v>
      </c>
      <c r="AE261" s="3" t="s">
        <v>475</v>
      </c>
      <c r="AF261" s="4" t="s">
        <v>269</v>
      </c>
      <c r="AG261" s="4" t="s">
        <v>476</v>
      </c>
      <c r="AH261" s="4">
        <v>7.5</v>
      </c>
    </row>
    <row r="262" spans="1:34" x14ac:dyDescent="0.3">
      <c r="A262" s="7" t="s">
        <v>1027</v>
      </c>
      <c r="B262" s="7" t="s">
        <v>1028</v>
      </c>
      <c r="C262" s="7" t="s">
        <v>142</v>
      </c>
      <c r="D262" s="7" t="s">
        <v>684</v>
      </c>
      <c r="E262" s="7" t="s">
        <v>483</v>
      </c>
      <c r="F262" s="7" t="s">
        <v>471</v>
      </c>
      <c r="G262" s="7" t="s">
        <v>491</v>
      </c>
      <c r="H262" s="7" t="s">
        <v>514</v>
      </c>
      <c r="I262" s="7">
        <v>13</v>
      </c>
      <c r="J262" s="7">
        <v>12</v>
      </c>
      <c r="K262" s="7">
        <v>1</v>
      </c>
      <c r="L262" s="7">
        <v>100</v>
      </c>
      <c r="M262" s="7">
        <v>17</v>
      </c>
      <c r="N262" s="7">
        <v>9.09</v>
      </c>
      <c r="O262" s="7">
        <v>124.13</v>
      </c>
      <c r="P262" s="7">
        <v>0</v>
      </c>
      <c r="Q262" s="7">
        <v>0</v>
      </c>
      <c r="R262" s="7">
        <v>8</v>
      </c>
      <c r="S262" s="7">
        <v>5</v>
      </c>
      <c r="T262" s="7">
        <v>0</v>
      </c>
      <c r="U262" s="7">
        <v>31</v>
      </c>
      <c r="V262" s="7">
        <v>26.69</v>
      </c>
      <c r="W262" s="7">
        <v>7.88</v>
      </c>
      <c r="X262" s="7">
        <v>19.760000000000002</v>
      </c>
      <c r="Y262" s="7" t="s">
        <v>585</v>
      </c>
      <c r="Z262" s="7">
        <v>0</v>
      </c>
      <c r="AA262" s="7">
        <v>37.299999999999997</v>
      </c>
      <c r="AB262" s="7">
        <v>11</v>
      </c>
      <c r="AC262" s="7">
        <v>0</v>
      </c>
      <c r="AD262" s="7" t="s">
        <v>142</v>
      </c>
      <c r="AE262" s="3" t="s">
        <v>475</v>
      </c>
      <c r="AF262" s="7" t="s">
        <v>274</v>
      </c>
      <c r="AG262" s="7" t="s">
        <v>502</v>
      </c>
      <c r="AH262" s="7">
        <v>21</v>
      </c>
    </row>
    <row r="263" spans="1:34" x14ac:dyDescent="0.3">
      <c r="A263" s="4" t="s">
        <v>1029</v>
      </c>
      <c r="B263" s="4" t="s">
        <v>1030</v>
      </c>
      <c r="C263" s="4" t="s">
        <v>55</v>
      </c>
      <c r="D263" s="4" t="s">
        <v>588</v>
      </c>
      <c r="E263" s="4" t="s">
        <v>470</v>
      </c>
      <c r="F263" s="4" t="s">
        <v>490</v>
      </c>
      <c r="G263" s="4" t="s">
        <v>472</v>
      </c>
      <c r="H263" s="4" t="s">
        <v>492</v>
      </c>
      <c r="I263" s="4">
        <v>13</v>
      </c>
      <c r="J263" s="4">
        <v>13</v>
      </c>
      <c r="K263" s="4">
        <v>0</v>
      </c>
      <c r="L263" s="4">
        <v>521</v>
      </c>
      <c r="M263" s="4">
        <v>76</v>
      </c>
      <c r="N263" s="4">
        <v>40.08</v>
      </c>
      <c r="O263" s="4">
        <v>131.91</v>
      </c>
      <c r="P263" s="4">
        <v>1</v>
      </c>
      <c r="Q263" s="4">
        <v>0</v>
      </c>
      <c r="R263" s="4">
        <v>48</v>
      </c>
      <c r="S263" s="4">
        <v>29</v>
      </c>
      <c r="T263" s="4">
        <v>0</v>
      </c>
      <c r="U263" s="4">
        <v>0</v>
      </c>
      <c r="V263" s="4" t="s">
        <v>493</v>
      </c>
      <c r="W263" s="4" t="s">
        <v>493</v>
      </c>
      <c r="X263" s="4" t="s">
        <v>493</v>
      </c>
      <c r="Y263" s="4" t="s">
        <v>493</v>
      </c>
      <c r="Z263" s="4">
        <v>0</v>
      </c>
      <c r="AA263" s="4">
        <v>0</v>
      </c>
      <c r="AB263" s="4">
        <v>10</v>
      </c>
      <c r="AC263" s="4">
        <v>0</v>
      </c>
      <c r="AD263" s="4" t="s">
        <v>46</v>
      </c>
      <c r="AE263" s="3" t="s">
        <v>475</v>
      </c>
      <c r="AF263" s="4" t="s">
        <v>279</v>
      </c>
      <c r="AG263" s="4" t="s">
        <v>476</v>
      </c>
      <c r="AH263" s="4">
        <v>5</v>
      </c>
    </row>
    <row r="264" spans="1:34" x14ac:dyDescent="0.3">
      <c r="A264" s="7" t="s">
        <v>1031</v>
      </c>
      <c r="B264" s="7" t="s">
        <v>1032</v>
      </c>
      <c r="C264" s="7" t="s">
        <v>20</v>
      </c>
      <c r="D264" s="7" t="s">
        <v>523</v>
      </c>
      <c r="E264" s="7" t="s">
        <v>483</v>
      </c>
      <c r="F264" s="7" t="s">
        <v>484</v>
      </c>
      <c r="G264" s="7" t="s">
        <v>472</v>
      </c>
      <c r="H264" s="7" t="s">
        <v>480</v>
      </c>
      <c r="I264" s="7">
        <v>14</v>
      </c>
      <c r="J264" s="7">
        <v>12</v>
      </c>
      <c r="K264" s="7">
        <v>0</v>
      </c>
      <c r="L264" s="7">
        <v>636</v>
      </c>
      <c r="M264" s="7">
        <v>88</v>
      </c>
      <c r="N264" s="7">
        <v>53</v>
      </c>
      <c r="O264" s="7">
        <v>183.11</v>
      </c>
      <c r="P264" s="7">
        <v>1</v>
      </c>
      <c r="Q264" s="7">
        <v>0</v>
      </c>
      <c r="R264" s="7">
        <v>54</v>
      </c>
      <c r="S264" s="7">
        <v>70</v>
      </c>
      <c r="T264" s="7">
        <v>1</v>
      </c>
      <c r="U264" s="7">
        <v>16</v>
      </c>
      <c r="V264" s="7">
        <v>22.19</v>
      </c>
      <c r="W264" s="7">
        <v>8.6999999999999993</v>
      </c>
      <c r="X264" s="7">
        <v>17.190000000000001</v>
      </c>
      <c r="Y264" s="7" t="s">
        <v>678</v>
      </c>
      <c r="Z264" s="7">
        <v>0</v>
      </c>
      <c r="AA264" s="7">
        <v>46.5</v>
      </c>
      <c r="AB264" s="7">
        <v>10</v>
      </c>
      <c r="AC264" s="7">
        <v>0</v>
      </c>
      <c r="AD264" s="7" t="s">
        <v>142</v>
      </c>
      <c r="AE264" s="3" t="s">
        <v>475</v>
      </c>
      <c r="AF264" s="7" t="s">
        <v>187</v>
      </c>
      <c r="AG264" s="7" t="s">
        <v>476</v>
      </c>
      <c r="AH264" s="7">
        <v>0.75</v>
      </c>
    </row>
    <row r="265" spans="1:34" x14ac:dyDescent="0.3">
      <c r="A265" s="4" t="s">
        <v>1033</v>
      </c>
      <c r="B265" s="4" t="s">
        <v>1034</v>
      </c>
      <c r="C265" s="4" t="s">
        <v>81</v>
      </c>
      <c r="D265" s="4" t="s">
        <v>750</v>
      </c>
      <c r="E265" s="4" t="s">
        <v>559</v>
      </c>
      <c r="F265" s="4" t="s">
        <v>484</v>
      </c>
      <c r="G265" s="4" t="s">
        <v>491</v>
      </c>
      <c r="H265" s="4" t="s">
        <v>556</v>
      </c>
      <c r="I265" s="4">
        <v>10</v>
      </c>
      <c r="J265" s="4">
        <v>10</v>
      </c>
      <c r="K265" s="4">
        <v>1</v>
      </c>
      <c r="L265" s="4">
        <v>472</v>
      </c>
      <c r="M265" s="4">
        <v>49</v>
      </c>
      <c r="N265" s="4">
        <v>52.44</v>
      </c>
      <c r="O265" s="4">
        <v>178.7</v>
      </c>
      <c r="P265" s="4">
        <v>0</v>
      </c>
      <c r="Q265" s="4">
        <v>0</v>
      </c>
      <c r="R265" s="4">
        <v>56</v>
      </c>
      <c r="S265" s="4">
        <v>53</v>
      </c>
      <c r="T265" s="4">
        <v>0</v>
      </c>
      <c r="U265" s="4">
        <v>15</v>
      </c>
      <c r="V265" s="4">
        <v>18.670000000000002</v>
      </c>
      <c r="W265" s="4">
        <v>7.76</v>
      </c>
      <c r="X265" s="4">
        <v>16.13</v>
      </c>
      <c r="Y265" s="4" t="s">
        <v>678</v>
      </c>
      <c r="Z265" s="4">
        <v>0</v>
      </c>
      <c r="AA265" s="4">
        <v>33.1</v>
      </c>
      <c r="AB265" s="4">
        <v>9</v>
      </c>
      <c r="AC265" s="4">
        <v>0</v>
      </c>
      <c r="AD265" s="4" t="s">
        <v>37</v>
      </c>
      <c r="AE265" s="3" t="s">
        <v>475</v>
      </c>
      <c r="AF265" s="4" t="s">
        <v>235</v>
      </c>
      <c r="AG265" s="4" t="s">
        <v>476</v>
      </c>
      <c r="AH265" s="4">
        <v>4</v>
      </c>
    </row>
    <row r="266" spans="1:34" x14ac:dyDescent="0.3">
      <c r="A266" s="7" t="s">
        <v>1035</v>
      </c>
      <c r="B266" s="7" t="s">
        <v>1036</v>
      </c>
      <c r="C266" s="7" t="s">
        <v>28</v>
      </c>
      <c r="D266" s="7" t="s">
        <v>779</v>
      </c>
      <c r="E266" s="7" t="s">
        <v>483</v>
      </c>
      <c r="F266" s="7" t="s">
        <v>484</v>
      </c>
      <c r="G266" s="7" t="s">
        <v>491</v>
      </c>
      <c r="H266" s="7" t="s">
        <v>480</v>
      </c>
      <c r="I266" s="7">
        <v>9</v>
      </c>
      <c r="J266" s="7">
        <v>9</v>
      </c>
      <c r="K266" s="7">
        <v>2</v>
      </c>
      <c r="L266" s="7">
        <v>308</v>
      </c>
      <c r="M266" s="7">
        <v>97</v>
      </c>
      <c r="N266" s="7">
        <v>44</v>
      </c>
      <c r="O266" s="7">
        <v>180.53</v>
      </c>
      <c r="P266" s="7">
        <v>0</v>
      </c>
      <c r="Q266" s="7">
        <v>0</v>
      </c>
      <c r="R266" s="7">
        <v>38</v>
      </c>
      <c r="S266" s="7">
        <v>15</v>
      </c>
      <c r="T266" s="7">
        <v>0</v>
      </c>
      <c r="U266" s="7">
        <v>7</v>
      </c>
      <c r="V266" s="7">
        <v>14.92</v>
      </c>
      <c r="W266" s="7">
        <v>9.11</v>
      </c>
      <c r="X266" s="7">
        <v>12</v>
      </c>
      <c r="Y266" s="7" t="s">
        <v>806</v>
      </c>
      <c r="Z266" s="7">
        <v>0</v>
      </c>
      <c r="AA266" s="7">
        <v>25.4</v>
      </c>
      <c r="AB266" s="7">
        <v>3</v>
      </c>
      <c r="AC266" s="7">
        <v>0</v>
      </c>
      <c r="AD266" s="7" t="s">
        <v>55</v>
      </c>
      <c r="AE266" s="8" t="s">
        <v>486</v>
      </c>
      <c r="AF266" s="7" t="s">
        <v>397</v>
      </c>
      <c r="AG266" s="7" t="s">
        <v>502</v>
      </c>
      <c r="AH266" s="7">
        <v>7.5</v>
      </c>
    </row>
    <row r="267" spans="1:34" x14ac:dyDescent="0.3">
      <c r="A267" s="4" t="s">
        <v>1037</v>
      </c>
      <c r="B267" s="4" t="s">
        <v>1038</v>
      </c>
      <c r="C267" s="4" t="s">
        <v>37</v>
      </c>
      <c r="D267" s="4" t="s">
        <v>555</v>
      </c>
      <c r="E267" s="4" t="s">
        <v>489</v>
      </c>
      <c r="F267" s="4" t="s">
        <v>490</v>
      </c>
      <c r="G267" s="4" t="s">
        <v>491</v>
      </c>
      <c r="H267" s="4" t="s">
        <v>492</v>
      </c>
      <c r="I267" s="4">
        <v>13</v>
      </c>
      <c r="J267" s="4">
        <v>11</v>
      </c>
      <c r="K267" s="4">
        <v>3</v>
      </c>
      <c r="L267" s="4">
        <v>368</v>
      </c>
      <c r="M267" s="4">
        <v>79</v>
      </c>
      <c r="N267" s="4">
        <v>46</v>
      </c>
      <c r="O267" s="4">
        <v>157.30000000000001</v>
      </c>
      <c r="P267" s="4">
        <v>0</v>
      </c>
      <c r="Q267" s="4">
        <v>0</v>
      </c>
      <c r="R267" s="4">
        <v>34</v>
      </c>
      <c r="S267" s="4">
        <v>21</v>
      </c>
      <c r="T267" s="4">
        <v>0</v>
      </c>
      <c r="U267" s="4">
        <v>0</v>
      </c>
      <c r="V267" s="4" t="s">
        <v>493</v>
      </c>
      <c r="W267" s="4" t="s">
        <v>493</v>
      </c>
      <c r="X267" s="4" t="s">
        <v>493</v>
      </c>
      <c r="Y267" s="4" t="s">
        <v>493</v>
      </c>
      <c r="Z267" s="4">
        <v>0</v>
      </c>
      <c r="AA267" s="4">
        <v>0</v>
      </c>
      <c r="AB267" s="4">
        <v>12</v>
      </c>
      <c r="AC267" s="4">
        <v>0</v>
      </c>
      <c r="AD267" s="4" t="s">
        <v>46</v>
      </c>
      <c r="AE267" s="8" t="s">
        <v>486</v>
      </c>
      <c r="AF267" s="4" t="s">
        <v>202</v>
      </c>
      <c r="AG267" s="4" t="s">
        <v>476</v>
      </c>
      <c r="AH267" s="4">
        <v>15</v>
      </c>
    </row>
    <row r="268" spans="1:34" x14ac:dyDescent="0.3">
      <c r="A268" s="7" t="s">
        <v>1039</v>
      </c>
      <c r="B268" s="7" t="s">
        <v>1040</v>
      </c>
      <c r="C268" s="7" t="s">
        <v>142</v>
      </c>
      <c r="D268" s="7" t="s">
        <v>684</v>
      </c>
      <c r="E268" s="7" t="s">
        <v>483</v>
      </c>
      <c r="F268" s="7" t="s">
        <v>484</v>
      </c>
      <c r="G268" s="7" t="s">
        <v>491</v>
      </c>
      <c r="H268" s="7" t="s">
        <v>516</v>
      </c>
      <c r="I268" s="7">
        <v>9</v>
      </c>
      <c r="J268" s="7">
        <v>8</v>
      </c>
      <c r="K268" s="7">
        <v>3</v>
      </c>
      <c r="L268" s="7">
        <v>263</v>
      </c>
      <c r="M268" s="7">
        <v>38</v>
      </c>
      <c r="N268" s="7">
        <v>52.6</v>
      </c>
      <c r="O268" s="7">
        <v>157.26</v>
      </c>
      <c r="P268" s="7">
        <v>0</v>
      </c>
      <c r="Q268" s="7">
        <v>0</v>
      </c>
      <c r="R268" s="7">
        <v>25</v>
      </c>
      <c r="S268" s="7">
        <v>13</v>
      </c>
      <c r="T268" s="7">
        <v>0</v>
      </c>
      <c r="U268" s="7">
        <v>9</v>
      </c>
      <c r="V268" s="7">
        <v>21.27</v>
      </c>
      <c r="W268" s="7">
        <v>9.2799999999999994</v>
      </c>
      <c r="X268" s="7">
        <v>20.39</v>
      </c>
      <c r="Y268" s="7" t="s">
        <v>520</v>
      </c>
      <c r="Z268" s="7">
        <v>0</v>
      </c>
      <c r="AA268" s="7">
        <v>28.6</v>
      </c>
      <c r="AB268" s="7">
        <v>4</v>
      </c>
      <c r="AC268" s="7">
        <v>0</v>
      </c>
      <c r="AD268" s="7" t="s">
        <v>28</v>
      </c>
      <c r="AE268" s="3" t="s">
        <v>475</v>
      </c>
      <c r="AF268" s="7" t="s">
        <v>86</v>
      </c>
      <c r="AG268" s="7" t="s">
        <v>476</v>
      </c>
      <c r="AH268" s="7">
        <v>5</v>
      </c>
    </row>
    <row r="269" spans="1:34" x14ac:dyDescent="0.3">
      <c r="A269" s="4" t="s">
        <v>1041</v>
      </c>
      <c r="B269" s="4" t="s">
        <v>1042</v>
      </c>
      <c r="C269" s="4" t="s">
        <v>81</v>
      </c>
      <c r="D269" s="4" t="s">
        <v>750</v>
      </c>
      <c r="E269" s="4" t="s">
        <v>483</v>
      </c>
      <c r="F269" s="4" t="s">
        <v>484</v>
      </c>
      <c r="G269" s="4" t="s">
        <v>472</v>
      </c>
      <c r="H269" s="4" t="s">
        <v>516</v>
      </c>
      <c r="I269" s="4">
        <v>9</v>
      </c>
      <c r="J269" s="4">
        <v>7</v>
      </c>
      <c r="K269" s="4">
        <v>3</v>
      </c>
      <c r="L269" s="4">
        <v>167</v>
      </c>
      <c r="M269" s="4">
        <v>110</v>
      </c>
      <c r="N269" s="4">
        <v>41.75</v>
      </c>
      <c r="O269" s="4">
        <v>111.25</v>
      </c>
      <c r="P269" s="4">
        <v>0</v>
      </c>
      <c r="Q269" s="4">
        <v>0</v>
      </c>
      <c r="R269" s="4">
        <v>21</v>
      </c>
      <c r="S269" s="4">
        <v>6</v>
      </c>
      <c r="T269" s="4">
        <v>0</v>
      </c>
      <c r="U269" s="4">
        <v>8</v>
      </c>
      <c r="V269" s="4">
        <v>15.6</v>
      </c>
      <c r="W269" s="4">
        <v>9.41</v>
      </c>
      <c r="X269" s="4">
        <v>11.55</v>
      </c>
      <c r="Y269" s="4" t="s">
        <v>541</v>
      </c>
      <c r="Z269" s="4">
        <v>0</v>
      </c>
      <c r="AA269" s="4">
        <v>23.3</v>
      </c>
      <c r="AB269" s="4">
        <v>4</v>
      </c>
      <c r="AC269" s="4">
        <v>0</v>
      </c>
      <c r="AD269" s="4" t="s">
        <v>47</v>
      </c>
      <c r="AE269" s="3" t="s">
        <v>475</v>
      </c>
      <c r="AF269" s="4" t="s">
        <v>298</v>
      </c>
      <c r="AG269" s="4" t="s">
        <v>476</v>
      </c>
      <c r="AH269" s="4">
        <v>4</v>
      </c>
    </row>
    <row r="270" spans="1:34" x14ac:dyDescent="0.3">
      <c r="A270" s="7" t="s">
        <v>1043</v>
      </c>
      <c r="B270" s="7" t="s">
        <v>1044</v>
      </c>
      <c r="C270" s="7" t="s">
        <v>55</v>
      </c>
      <c r="D270" s="7" t="s">
        <v>588</v>
      </c>
      <c r="E270" s="7" t="s">
        <v>470</v>
      </c>
      <c r="F270" s="7" t="s">
        <v>490</v>
      </c>
      <c r="G270" s="7" t="s">
        <v>472</v>
      </c>
      <c r="H270" s="7" t="s">
        <v>492</v>
      </c>
      <c r="I270" s="7">
        <v>9</v>
      </c>
      <c r="J270" s="7">
        <v>7</v>
      </c>
      <c r="K270" s="7">
        <v>2</v>
      </c>
      <c r="L270" s="7">
        <v>144</v>
      </c>
      <c r="M270" s="7">
        <v>91</v>
      </c>
      <c r="N270" s="7">
        <v>28.8</v>
      </c>
      <c r="O270" s="7">
        <v>149.19999999999999</v>
      </c>
      <c r="P270" s="7">
        <v>0</v>
      </c>
      <c r="Q270" s="7">
        <v>0</v>
      </c>
      <c r="R270" s="7">
        <v>18</v>
      </c>
      <c r="S270" s="7">
        <v>8</v>
      </c>
      <c r="T270" s="7">
        <v>0</v>
      </c>
      <c r="U270" s="7">
        <v>0</v>
      </c>
      <c r="V270" s="7" t="s">
        <v>493</v>
      </c>
      <c r="W270" s="7" t="s">
        <v>493</v>
      </c>
      <c r="X270" s="7" t="s">
        <v>493</v>
      </c>
      <c r="Y270" s="7" t="s">
        <v>493</v>
      </c>
      <c r="Z270" s="7">
        <v>0</v>
      </c>
      <c r="AA270" s="7">
        <v>0</v>
      </c>
      <c r="AB270" s="7">
        <v>2</v>
      </c>
      <c r="AC270" s="7">
        <v>0</v>
      </c>
      <c r="AD270" s="7" t="s">
        <v>28</v>
      </c>
      <c r="AE270" s="8" t="s">
        <v>486</v>
      </c>
      <c r="AF270" s="7" t="s">
        <v>372</v>
      </c>
      <c r="AG270" s="7" t="s">
        <v>476</v>
      </c>
      <c r="AH270" s="7">
        <v>0.5</v>
      </c>
    </row>
    <row r="271" spans="1:34" x14ac:dyDescent="0.3">
      <c r="A271" s="4" t="s">
        <v>1045</v>
      </c>
      <c r="B271" s="4" t="s">
        <v>1046</v>
      </c>
      <c r="C271" s="4" t="s">
        <v>46</v>
      </c>
      <c r="D271" s="4" t="s">
        <v>622</v>
      </c>
      <c r="E271" s="4" t="s">
        <v>543</v>
      </c>
      <c r="F271" s="4" t="s">
        <v>490</v>
      </c>
      <c r="G271" s="4" t="s">
        <v>491</v>
      </c>
      <c r="H271" s="4" t="s">
        <v>492</v>
      </c>
      <c r="I271" s="4">
        <v>9</v>
      </c>
      <c r="J271" s="4">
        <v>9</v>
      </c>
      <c r="K271" s="4">
        <v>3</v>
      </c>
      <c r="L271" s="4">
        <v>173</v>
      </c>
      <c r="M271" s="4">
        <v>99</v>
      </c>
      <c r="N271" s="4">
        <v>28.83</v>
      </c>
      <c r="O271" s="4">
        <v>126.79</v>
      </c>
      <c r="P271" s="4">
        <v>0</v>
      </c>
      <c r="Q271" s="4">
        <v>0</v>
      </c>
      <c r="R271" s="4">
        <v>22</v>
      </c>
      <c r="S271" s="4">
        <v>19</v>
      </c>
      <c r="T271" s="4">
        <v>0</v>
      </c>
      <c r="U271" s="4">
        <v>0</v>
      </c>
      <c r="V271" s="4" t="s">
        <v>493</v>
      </c>
      <c r="W271" s="4" t="s">
        <v>493</v>
      </c>
      <c r="X271" s="4" t="s">
        <v>493</v>
      </c>
      <c r="Y271" s="4" t="s">
        <v>493</v>
      </c>
      <c r="Z271" s="4">
        <v>0</v>
      </c>
      <c r="AA271" s="4">
        <v>0</v>
      </c>
      <c r="AB271" s="4">
        <v>3</v>
      </c>
      <c r="AC271" s="4">
        <v>0</v>
      </c>
      <c r="AD271" s="4" t="s">
        <v>20</v>
      </c>
      <c r="AE271" s="3" t="s">
        <v>475</v>
      </c>
      <c r="AF271" s="4" t="s">
        <v>269</v>
      </c>
      <c r="AG271" s="4" t="s">
        <v>476</v>
      </c>
      <c r="AH271" s="4">
        <v>7.5</v>
      </c>
    </row>
    <row r="272" spans="1:34" x14ac:dyDescent="0.3">
      <c r="A272" s="7" t="s">
        <v>1047</v>
      </c>
      <c r="B272" s="7" t="s">
        <v>1048</v>
      </c>
      <c r="C272" s="7" t="s">
        <v>47</v>
      </c>
      <c r="D272" s="7" t="s">
        <v>717</v>
      </c>
      <c r="E272" s="7" t="s">
        <v>479</v>
      </c>
      <c r="F272" s="7" t="s">
        <v>484</v>
      </c>
      <c r="G272" s="7" t="s">
        <v>491</v>
      </c>
      <c r="H272" s="7" t="s">
        <v>473</v>
      </c>
      <c r="I272" s="7">
        <v>9</v>
      </c>
      <c r="J272" s="7">
        <v>7</v>
      </c>
      <c r="K272" s="7">
        <v>1</v>
      </c>
      <c r="L272" s="7">
        <v>124</v>
      </c>
      <c r="M272" s="7">
        <v>76</v>
      </c>
      <c r="N272" s="7">
        <v>20.67</v>
      </c>
      <c r="O272" s="7">
        <v>122.36</v>
      </c>
      <c r="P272" s="7">
        <v>0</v>
      </c>
      <c r="Q272" s="7">
        <v>0</v>
      </c>
      <c r="R272" s="7">
        <v>12</v>
      </c>
      <c r="S272" s="7">
        <v>7</v>
      </c>
      <c r="T272" s="7">
        <v>0</v>
      </c>
      <c r="U272" s="7">
        <v>10</v>
      </c>
      <c r="V272" s="7">
        <v>17.79</v>
      </c>
      <c r="W272" s="7">
        <v>8.09</v>
      </c>
      <c r="X272" s="7">
        <v>15.26</v>
      </c>
      <c r="Y272" s="7" t="s">
        <v>527</v>
      </c>
      <c r="Z272" s="7">
        <v>0</v>
      </c>
      <c r="AA272" s="7">
        <v>26.9</v>
      </c>
      <c r="AB272" s="7">
        <v>2</v>
      </c>
      <c r="AC272" s="7">
        <v>0</v>
      </c>
      <c r="AD272" s="7" t="s">
        <v>38</v>
      </c>
      <c r="AE272" s="8" t="s">
        <v>486</v>
      </c>
      <c r="AF272" s="7" t="s">
        <v>406</v>
      </c>
      <c r="AG272" s="7" t="s">
        <v>476</v>
      </c>
      <c r="AH272" s="7">
        <v>6</v>
      </c>
    </row>
    <row r="273" spans="1:34" x14ac:dyDescent="0.3">
      <c r="A273" s="4" t="s">
        <v>1049</v>
      </c>
      <c r="B273" s="4" t="s">
        <v>1050</v>
      </c>
      <c r="C273" s="4" t="s">
        <v>28</v>
      </c>
      <c r="D273" s="4" t="s">
        <v>779</v>
      </c>
      <c r="E273" s="4" t="s">
        <v>483</v>
      </c>
      <c r="F273" s="4" t="s">
        <v>471</v>
      </c>
      <c r="G273" s="4" t="s">
        <v>491</v>
      </c>
      <c r="H273" s="4" t="s">
        <v>480</v>
      </c>
      <c r="I273" s="4">
        <v>9</v>
      </c>
      <c r="J273" s="4">
        <v>8</v>
      </c>
      <c r="K273" s="4">
        <v>3</v>
      </c>
      <c r="L273" s="4">
        <v>107</v>
      </c>
      <c r="M273" s="4">
        <v>10</v>
      </c>
      <c r="N273" s="4">
        <v>21.4</v>
      </c>
      <c r="O273" s="4">
        <v>103.61</v>
      </c>
      <c r="P273" s="4">
        <v>0</v>
      </c>
      <c r="Q273" s="4">
        <v>0</v>
      </c>
      <c r="R273" s="4">
        <v>8</v>
      </c>
      <c r="S273" s="4">
        <v>5</v>
      </c>
      <c r="T273" s="4">
        <v>1</v>
      </c>
      <c r="U273" s="4">
        <v>12</v>
      </c>
      <c r="V273" s="4">
        <v>28.16</v>
      </c>
      <c r="W273" s="4">
        <v>10.37</v>
      </c>
      <c r="X273" s="4">
        <v>12.24</v>
      </c>
      <c r="Y273" s="4" t="s">
        <v>802</v>
      </c>
      <c r="Z273" s="4">
        <v>0</v>
      </c>
      <c r="AA273" s="4">
        <v>24.1</v>
      </c>
      <c r="AB273" s="4">
        <v>4</v>
      </c>
      <c r="AC273" s="4">
        <v>0</v>
      </c>
      <c r="AD273" s="4" t="s">
        <v>38</v>
      </c>
      <c r="AE273" s="8" t="s">
        <v>486</v>
      </c>
      <c r="AF273" s="4" t="s">
        <v>86</v>
      </c>
      <c r="AG273" s="4" t="s">
        <v>476</v>
      </c>
      <c r="AH273" s="4">
        <v>1.5</v>
      </c>
    </row>
    <row r="274" spans="1:34" x14ac:dyDescent="0.3">
      <c r="A274" s="7" t="s">
        <v>1051</v>
      </c>
      <c r="B274" s="7" t="s">
        <v>1052</v>
      </c>
      <c r="C274" s="7" t="s">
        <v>55</v>
      </c>
      <c r="D274" s="7" t="s">
        <v>588</v>
      </c>
      <c r="E274" s="7" t="s">
        <v>479</v>
      </c>
      <c r="F274" s="7" t="s">
        <v>490</v>
      </c>
      <c r="G274" s="7" t="s">
        <v>491</v>
      </c>
      <c r="H274" s="7" t="s">
        <v>492</v>
      </c>
      <c r="I274" s="7">
        <v>10</v>
      </c>
      <c r="J274" s="7">
        <v>8</v>
      </c>
      <c r="K274" s="7">
        <v>3</v>
      </c>
      <c r="L274" s="7">
        <v>261</v>
      </c>
      <c r="M274" s="7">
        <v>65</v>
      </c>
      <c r="N274" s="7">
        <v>52.2</v>
      </c>
      <c r="O274" s="7">
        <v>128.86000000000001</v>
      </c>
      <c r="P274" s="7">
        <v>0</v>
      </c>
      <c r="Q274" s="7">
        <v>0</v>
      </c>
      <c r="R274" s="7">
        <v>35</v>
      </c>
      <c r="S274" s="7">
        <v>13</v>
      </c>
      <c r="T274" s="7">
        <v>0</v>
      </c>
      <c r="U274" s="7">
        <v>0</v>
      </c>
      <c r="V274" s="7" t="s">
        <v>493</v>
      </c>
      <c r="W274" s="7" t="s">
        <v>493</v>
      </c>
      <c r="X274" s="7" t="s">
        <v>493</v>
      </c>
      <c r="Y274" s="7" t="s">
        <v>493</v>
      </c>
      <c r="Z274" s="7">
        <v>0</v>
      </c>
      <c r="AA274" s="7">
        <v>0</v>
      </c>
      <c r="AB274" s="7">
        <v>3</v>
      </c>
      <c r="AC274" s="7">
        <v>0</v>
      </c>
      <c r="AD274" s="7" t="s">
        <v>28</v>
      </c>
      <c r="AE274" s="3" t="s">
        <v>475</v>
      </c>
      <c r="AF274" s="7" t="s">
        <v>159</v>
      </c>
      <c r="AG274" s="7" t="s">
        <v>476</v>
      </c>
      <c r="AH274" s="7">
        <v>0.4</v>
      </c>
    </row>
    <row r="275" spans="1:34" x14ac:dyDescent="0.3">
      <c r="A275" s="4" t="s">
        <v>1053</v>
      </c>
      <c r="B275" s="4" t="s">
        <v>1054</v>
      </c>
      <c r="C275" s="4" t="s">
        <v>19</v>
      </c>
      <c r="D275" s="4" t="s">
        <v>469</v>
      </c>
      <c r="E275" s="4" t="s">
        <v>470</v>
      </c>
      <c r="F275" s="4" t="s">
        <v>471</v>
      </c>
      <c r="G275" s="4" t="s">
        <v>472</v>
      </c>
      <c r="H275" s="4" t="s">
        <v>473</v>
      </c>
      <c r="I275" s="4">
        <v>14</v>
      </c>
      <c r="J275" s="4">
        <v>14</v>
      </c>
      <c r="K275" s="4">
        <v>1</v>
      </c>
      <c r="L275" s="4">
        <v>230</v>
      </c>
      <c r="M275" s="4">
        <v>15</v>
      </c>
      <c r="N275" s="4">
        <v>17.690000000000001</v>
      </c>
      <c r="O275" s="4">
        <v>104.85</v>
      </c>
      <c r="P275" s="4">
        <v>0</v>
      </c>
      <c r="Q275" s="4">
        <v>0</v>
      </c>
      <c r="R275" s="4">
        <v>19</v>
      </c>
      <c r="S275" s="4">
        <v>11</v>
      </c>
      <c r="T275" s="4">
        <v>3</v>
      </c>
      <c r="U275" s="4">
        <v>16</v>
      </c>
      <c r="V275" s="4">
        <v>29.63</v>
      </c>
      <c r="W275" s="4">
        <v>8.8800000000000008</v>
      </c>
      <c r="X275" s="4">
        <v>17.78</v>
      </c>
      <c r="Y275" s="4" t="s">
        <v>474</v>
      </c>
      <c r="Z275" s="4">
        <v>0</v>
      </c>
      <c r="AA275" s="4">
        <v>40</v>
      </c>
      <c r="AB275" s="4">
        <v>12</v>
      </c>
      <c r="AC275" s="4">
        <v>0</v>
      </c>
      <c r="AD275" s="4" t="s">
        <v>46</v>
      </c>
      <c r="AE275" s="3" t="s">
        <v>475</v>
      </c>
      <c r="AF275" s="4" t="s">
        <v>60</v>
      </c>
      <c r="AG275" s="4" t="s">
        <v>476</v>
      </c>
      <c r="AH275" s="4">
        <v>1.5</v>
      </c>
    </row>
    <row r="276" spans="1:34" x14ac:dyDescent="0.3">
      <c r="A276" s="7" t="s">
        <v>1055</v>
      </c>
      <c r="B276" s="7" t="s">
        <v>1056</v>
      </c>
      <c r="C276" s="7" t="s">
        <v>20</v>
      </c>
      <c r="D276" s="7" t="s">
        <v>523</v>
      </c>
      <c r="E276" s="7" t="s">
        <v>483</v>
      </c>
      <c r="F276" s="7" t="s">
        <v>484</v>
      </c>
      <c r="G276" s="7" t="s">
        <v>472</v>
      </c>
      <c r="H276" s="7" t="s">
        <v>556</v>
      </c>
      <c r="I276" s="7">
        <v>8</v>
      </c>
      <c r="J276" s="7">
        <v>6</v>
      </c>
      <c r="K276" s="7">
        <v>3</v>
      </c>
      <c r="L276" s="7">
        <v>122</v>
      </c>
      <c r="M276" s="7">
        <v>102</v>
      </c>
      <c r="N276" s="7">
        <v>40.67</v>
      </c>
      <c r="O276" s="7">
        <v>167.6</v>
      </c>
      <c r="P276" s="7">
        <v>0</v>
      </c>
      <c r="Q276" s="7">
        <v>0</v>
      </c>
      <c r="R276" s="7">
        <v>14</v>
      </c>
      <c r="S276" s="7">
        <v>13</v>
      </c>
      <c r="T276" s="7">
        <v>0</v>
      </c>
      <c r="U276" s="7">
        <v>3</v>
      </c>
      <c r="V276" s="7">
        <v>17.670000000000002</v>
      </c>
      <c r="W276" s="7">
        <v>6.57</v>
      </c>
      <c r="X276" s="7">
        <v>13.32</v>
      </c>
      <c r="Y276" s="7" t="s">
        <v>619</v>
      </c>
      <c r="Z276" s="7">
        <v>0</v>
      </c>
      <c r="AA276" s="7">
        <v>29.9</v>
      </c>
      <c r="AB276" s="7">
        <v>8</v>
      </c>
      <c r="AC276" s="7">
        <v>0</v>
      </c>
      <c r="AD276" s="7" t="s">
        <v>47</v>
      </c>
      <c r="AE276" s="3" t="s">
        <v>475</v>
      </c>
      <c r="AF276" s="7" t="s">
        <v>181</v>
      </c>
      <c r="AG276" s="7" t="s">
        <v>502</v>
      </c>
      <c r="AH276" s="7">
        <v>18</v>
      </c>
    </row>
    <row r="277" spans="1:34" x14ac:dyDescent="0.3">
      <c r="A277" s="4" t="s">
        <v>1057</v>
      </c>
      <c r="B277" s="4" t="s">
        <v>1058</v>
      </c>
      <c r="C277" s="4" t="s">
        <v>47</v>
      </c>
      <c r="D277" s="4" t="s">
        <v>717</v>
      </c>
      <c r="E277" s="4" t="s">
        <v>597</v>
      </c>
      <c r="F277" s="4" t="s">
        <v>490</v>
      </c>
      <c r="G277" s="4" t="s">
        <v>491</v>
      </c>
      <c r="H277" s="4" t="s">
        <v>492</v>
      </c>
      <c r="I277" s="4">
        <v>10</v>
      </c>
      <c r="J277" s="4">
        <v>8</v>
      </c>
      <c r="K277" s="4">
        <v>0</v>
      </c>
      <c r="L277" s="4">
        <v>363</v>
      </c>
      <c r="M277" s="4">
        <v>96</v>
      </c>
      <c r="N277" s="4">
        <v>45.38</v>
      </c>
      <c r="O277" s="4">
        <v>124.91</v>
      </c>
      <c r="P277" s="4">
        <v>0</v>
      </c>
      <c r="Q277" s="4">
        <v>0</v>
      </c>
      <c r="R277" s="4">
        <v>40</v>
      </c>
      <c r="S277" s="4">
        <v>21</v>
      </c>
      <c r="T277" s="4">
        <v>0</v>
      </c>
      <c r="U277" s="4">
        <v>0</v>
      </c>
      <c r="V277" s="4" t="s">
        <v>493</v>
      </c>
      <c r="W277" s="4" t="s">
        <v>493</v>
      </c>
      <c r="X277" s="4" t="s">
        <v>493</v>
      </c>
      <c r="Y277" s="4" t="s">
        <v>493</v>
      </c>
      <c r="Z277" s="4">
        <v>0</v>
      </c>
      <c r="AA277" s="4">
        <v>0</v>
      </c>
      <c r="AB277" s="4">
        <v>9</v>
      </c>
      <c r="AC277" s="4">
        <v>0</v>
      </c>
      <c r="AD277" s="4" t="s">
        <v>81</v>
      </c>
      <c r="AE277" s="3" t="s">
        <v>475</v>
      </c>
      <c r="AF277" s="4" t="s">
        <v>416</v>
      </c>
      <c r="AG277" s="4" t="s">
        <v>476</v>
      </c>
      <c r="AH277" s="4">
        <v>7.5</v>
      </c>
    </row>
    <row r="278" spans="1:34" x14ac:dyDescent="0.3">
      <c r="A278" s="7" t="s">
        <v>1059</v>
      </c>
      <c r="B278" s="7" t="s">
        <v>1060</v>
      </c>
      <c r="C278" s="7" t="s">
        <v>28</v>
      </c>
      <c r="D278" s="7" t="s">
        <v>779</v>
      </c>
      <c r="E278" s="7" t="s">
        <v>470</v>
      </c>
      <c r="F278" s="7" t="s">
        <v>471</v>
      </c>
      <c r="G278" s="7" t="s">
        <v>472</v>
      </c>
      <c r="H278" s="7" t="s">
        <v>473</v>
      </c>
      <c r="I278" s="7">
        <v>14</v>
      </c>
      <c r="J278" s="7">
        <v>14</v>
      </c>
      <c r="K278" s="7">
        <v>1</v>
      </c>
      <c r="L278" s="7">
        <v>230</v>
      </c>
      <c r="M278" s="7">
        <v>15</v>
      </c>
      <c r="N278" s="7">
        <v>17.690000000000001</v>
      </c>
      <c r="O278" s="7">
        <v>104.85</v>
      </c>
      <c r="P278" s="7">
        <v>0</v>
      </c>
      <c r="Q278" s="7">
        <v>0</v>
      </c>
      <c r="R278" s="7">
        <v>19</v>
      </c>
      <c r="S278" s="7">
        <v>11</v>
      </c>
      <c r="T278" s="7">
        <v>3</v>
      </c>
      <c r="U278" s="7">
        <v>16</v>
      </c>
      <c r="V278" s="7">
        <v>29.63</v>
      </c>
      <c r="W278" s="7">
        <v>8.8800000000000008</v>
      </c>
      <c r="X278" s="7">
        <v>17.78</v>
      </c>
      <c r="Y278" s="7" t="s">
        <v>474</v>
      </c>
      <c r="Z278" s="7">
        <v>0</v>
      </c>
      <c r="AA278" s="7">
        <v>40</v>
      </c>
      <c r="AB278" s="7">
        <v>12</v>
      </c>
      <c r="AC278" s="7">
        <v>0</v>
      </c>
      <c r="AD278" s="7" t="s">
        <v>46</v>
      </c>
      <c r="AE278" s="3" t="s">
        <v>475</v>
      </c>
      <c r="AF278" s="7" t="s">
        <v>60</v>
      </c>
      <c r="AG278" s="7" t="s">
        <v>476</v>
      </c>
      <c r="AH278" s="7">
        <v>1.5</v>
      </c>
    </row>
    <row r="279" spans="1:34" x14ac:dyDescent="0.3">
      <c r="A279" s="4" t="s">
        <v>1061</v>
      </c>
      <c r="B279" s="4" t="s">
        <v>1062</v>
      </c>
      <c r="C279" s="4" t="s">
        <v>38</v>
      </c>
      <c r="D279" s="4" t="s">
        <v>654</v>
      </c>
      <c r="E279" s="4" t="s">
        <v>489</v>
      </c>
      <c r="F279" s="4" t="s">
        <v>471</v>
      </c>
      <c r="G279" s="4" t="s">
        <v>472</v>
      </c>
      <c r="H279" s="4" t="s">
        <v>500</v>
      </c>
      <c r="I279" s="4">
        <v>9</v>
      </c>
      <c r="J279" s="4">
        <v>7</v>
      </c>
      <c r="K279" s="4">
        <v>0</v>
      </c>
      <c r="L279" s="4">
        <v>210</v>
      </c>
      <c r="M279" s="4">
        <v>26</v>
      </c>
      <c r="N279" s="4">
        <v>30</v>
      </c>
      <c r="O279" s="4">
        <v>107.06</v>
      </c>
      <c r="P279" s="4">
        <v>0</v>
      </c>
      <c r="Q279" s="4">
        <v>0</v>
      </c>
      <c r="R279" s="4">
        <v>17</v>
      </c>
      <c r="S279" s="4">
        <v>10</v>
      </c>
      <c r="T279" s="4">
        <v>2</v>
      </c>
      <c r="U279" s="4">
        <v>20</v>
      </c>
      <c r="V279" s="4">
        <v>22.15</v>
      </c>
      <c r="W279" s="4">
        <v>7.7</v>
      </c>
      <c r="X279" s="4">
        <v>14.58</v>
      </c>
      <c r="Y279" s="4" t="s">
        <v>501</v>
      </c>
      <c r="Z279" s="4">
        <v>1</v>
      </c>
      <c r="AA279" s="4">
        <v>29.5</v>
      </c>
      <c r="AB279" s="4">
        <v>6</v>
      </c>
      <c r="AC279" s="4">
        <v>0</v>
      </c>
      <c r="AD279" s="4" t="s">
        <v>38</v>
      </c>
      <c r="AE279" s="8" t="s">
        <v>486</v>
      </c>
      <c r="AF279" s="4" t="s">
        <v>377</v>
      </c>
      <c r="AG279" s="4" t="s">
        <v>502</v>
      </c>
      <c r="AH279" s="4">
        <v>0.5</v>
      </c>
    </row>
    <row r="280" spans="1:34" x14ac:dyDescent="0.3">
      <c r="A280" s="7" t="s">
        <v>1063</v>
      </c>
      <c r="B280" s="7" t="s">
        <v>1064</v>
      </c>
      <c r="C280" s="7" t="s">
        <v>37</v>
      </c>
      <c r="D280" s="7" t="s">
        <v>555</v>
      </c>
      <c r="E280" s="7" t="s">
        <v>483</v>
      </c>
      <c r="F280" s="7" t="s">
        <v>471</v>
      </c>
      <c r="G280" s="7" t="s">
        <v>472</v>
      </c>
      <c r="H280" s="7" t="s">
        <v>473</v>
      </c>
      <c r="I280" s="7">
        <v>12</v>
      </c>
      <c r="J280" s="7">
        <v>11</v>
      </c>
      <c r="K280" s="7">
        <v>0</v>
      </c>
      <c r="L280" s="7">
        <v>200</v>
      </c>
      <c r="M280" s="7">
        <v>14</v>
      </c>
      <c r="N280" s="7">
        <v>18.18</v>
      </c>
      <c r="O280" s="7">
        <v>98.72</v>
      </c>
      <c r="P280" s="7">
        <v>0</v>
      </c>
      <c r="Q280" s="7">
        <v>0</v>
      </c>
      <c r="R280" s="7">
        <v>16</v>
      </c>
      <c r="S280" s="7">
        <v>10</v>
      </c>
      <c r="T280" s="7">
        <v>2</v>
      </c>
      <c r="U280" s="7">
        <v>20</v>
      </c>
      <c r="V280" s="7">
        <v>28.33</v>
      </c>
      <c r="W280" s="7">
        <v>10.4</v>
      </c>
      <c r="X280" s="7">
        <v>11.39</v>
      </c>
      <c r="Y280" s="7" t="s">
        <v>646</v>
      </c>
      <c r="Z280" s="7">
        <v>1</v>
      </c>
      <c r="AA280" s="7">
        <v>41.9</v>
      </c>
      <c r="AB280" s="7">
        <v>12</v>
      </c>
      <c r="AC280" s="7">
        <v>0</v>
      </c>
      <c r="AD280" s="7" t="s">
        <v>81</v>
      </c>
      <c r="AE280" s="8" t="s">
        <v>486</v>
      </c>
      <c r="AF280" s="7" t="s">
        <v>386</v>
      </c>
      <c r="AG280" s="7" t="s">
        <v>502</v>
      </c>
      <c r="AH280" s="7">
        <v>10</v>
      </c>
    </row>
    <row r="281" spans="1:34" x14ac:dyDescent="0.3">
      <c r="A281" s="4" t="s">
        <v>1065</v>
      </c>
      <c r="B281" s="4" t="s">
        <v>1066</v>
      </c>
      <c r="C281" s="4" t="s">
        <v>81</v>
      </c>
      <c r="D281" s="4" t="s">
        <v>750</v>
      </c>
      <c r="E281" s="4" t="s">
        <v>483</v>
      </c>
      <c r="F281" s="4" t="s">
        <v>490</v>
      </c>
      <c r="G281" s="4" t="s">
        <v>472</v>
      </c>
      <c r="H281" s="4" t="s">
        <v>492</v>
      </c>
      <c r="I281" s="4">
        <v>9</v>
      </c>
      <c r="J281" s="4">
        <v>9</v>
      </c>
      <c r="K281" s="4">
        <v>1</v>
      </c>
      <c r="L281" s="4">
        <v>187</v>
      </c>
      <c r="M281" s="4">
        <v>109</v>
      </c>
      <c r="N281" s="4">
        <v>23.38</v>
      </c>
      <c r="O281" s="4">
        <v>162.22</v>
      </c>
      <c r="P281" s="4">
        <v>0</v>
      </c>
      <c r="Q281" s="4">
        <v>0</v>
      </c>
      <c r="R281" s="4">
        <v>20</v>
      </c>
      <c r="S281" s="4">
        <v>7</v>
      </c>
      <c r="T281" s="4">
        <v>0</v>
      </c>
      <c r="U281" s="4">
        <v>0</v>
      </c>
      <c r="V281" s="4" t="s">
        <v>493</v>
      </c>
      <c r="W281" s="4" t="s">
        <v>493</v>
      </c>
      <c r="X281" s="4" t="s">
        <v>493</v>
      </c>
      <c r="Y281" s="4" t="s">
        <v>493</v>
      </c>
      <c r="Z281" s="4">
        <v>0</v>
      </c>
      <c r="AA281" s="4">
        <v>0</v>
      </c>
      <c r="AB281" s="4">
        <v>9</v>
      </c>
      <c r="AC281" s="4">
        <v>0</v>
      </c>
      <c r="AD281" s="4" t="s">
        <v>37</v>
      </c>
      <c r="AE281" s="8" t="s">
        <v>486</v>
      </c>
      <c r="AF281" s="4" t="s">
        <v>34</v>
      </c>
      <c r="AG281" s="4" t="s">
        <v>476</v>
      </c>
      <c r="AH281" s="4">
        <v>7.5</v>
      </c>
    </row>
    <row r="282" spans="1:34" x14ac:dyDescent="0.3">
      <c r="A282" s="7" t="s">
        <v>1067</v>
      </c>
      <c r="B282" s="7" t="s">
        <v>1068</v>
      </c>
      <c r="C282" s="7" t="s">
        <v>46</v>
      </c>
      <c r="D282" s="7" t="s">
        <v>622</v>
      </c>
      <c r="E282" s="7" t="s">
        <v>597</v>
      </c>
      <c r="F282" s="7" t="s">
        <v>471</v>
      </c>
      <c r="G282" s="7" t="s">
        <v>472</v>
      </c>
      <c r="H282" s="7" t="s">
        <v>509</v>
      </c>
      <c r="I282" s="7">
        <v>9</v>
      </c>
      <c r="J282" s="7">
        <v>8</v>
      </c>
      <c r="K282" s="7">
        <v>1</v>
      </c>
      <c r="L282" s="7">
        <v>163</v>
      </c>
      <c r="M282" s="7">
        <v>19</v>
      </c>
      <c r="N282" s="7">
        <v>23.29</v>
      </c>
      <c r="O282" s="7">
        <v>115.23</v>
      </c>
      <c r="P282" s="7">
        <v>0</v>
      </c>
      <c r="Q282" s="7">
        <v>0</v>
      </c>
      <c r="R282" s="7">
        <v>13</v>
      </c>
      <c r="S282" s="7">
        <v>8</v>
      </c>
      <c r="T282" s="7">
        <v>1</v>
      </c>
      <c r="U282" s="7">
        <v>15</v>
      </c>
      <c r="V282" s="7">
        <v>22.51</v>
      </c>
      <c r="W282" s="7">
        <v>6.77</v>
      </c>
      <c r="X282" s="7">
        <v>14.21</v>
      </c>
      <c r="Y282" s="7" t="s">
        <v>585</v>
      </c>
      <c r="Z282" s="7">
        <v>0</v>
      </c>
      <c r="AA282" s="7">
        <v>28.2</v>
      </c>
      <c r="AB282" s="7">
        <v>9</v>
      </c>
      <c r="AC282" s="7">
        <v>0</v>
      </c>
      <c r="AD282" s="7" t="s">
        <v>19</v>
      </c>
      <c r="AE282" s="3" t="s">
        <v>475</v>
      </c>
      <c r="AF282" s="7" t="s">
        <v>392</v>
      </c>
      <c r="AG282" s="7" t="s">
        <v>476</v>
      </c>
      <c r="AH282" s="7">
        <v>15</v>
      </c>
    </row>
    <row r="283" spans="1:34" x14ac:dyDescent="0.3">
      <c r="A283" s="4" t="s">
        <v>1069</v>
      </c>
      <c r="B283" s="4" t="s">
        <v>1070</v>
      </c>
      <c r="C283" s="4" t="s">
        <v>19</v>
      </c>
      <c r="D283" s="4" t="s">
        <v>469</v>
      </c>
      <c r="E283" s="4" t="s">
        <v>483</v>
      </c>
      <c r="F283" s="4" t="s">
        <v>471</v>
      </c>
      <c r="G283" s="4" t="s">
        <v>491</v>
      </c>
      <c r="H283" s="4" t="s">
        <v>556</v>
      </c>
      <c r="I283" s="4">
        <v>12</v>
      </c>
      <c r="J283" s="4">
        <v>10</v>
      </c>
      <c r="K283" s="4">
        <v>0</v>
      </c>
      <c r="L283" s="4">
        <v>21</v>
      </c>
      <c r="M283" s="4">
        <v>33</v>
      </c>
      <c r="N283" s="4">
        <v>2.1</v>
      </c>
      <c r="O283" s="4">
        <v>121.91</v>
      </c>
      <c r="P283" s="4">
        <v>0</v>
      </c>
      <c r="Q283" s="4">
        <v>0</v>
      </c>
      <c r="R283" s="4">
        <v>1</v>
      </c>
      <c r="S283" s="4">
        <v>1</v>
      </c>
      <c r="T283" s="4">
        <v>3</v>
      </c>
      <c r="U283" s="4">
        <v>4</v>
      </c>
      <c r="V283" s="4">
        <v>26.93</v>
      </c>
      <c r="W283" s="4">
        <v>8.42</v>
      </c>
      <c r="X283" s="4">
        <v>10.94</v>
      </c>
      <c r="Y283" s="4" t="s">
        <v>557</v>
      </c>
      <c r="Z283" s="4">
        <v>0</v>
      </c>
      <c r="AA283" s="4">
        <v>33.799999999999997</v>
      </c>
      <c r="AB283" s="4">
        <v>9</v>
      </c>
      <c r="AC283" s="4">
        <v>0</v>
      </c>
      <c r="AD283" s="4" t="s">
        <v>46</v>
      </c>
      <c r="AE283" s="3" t="s">
        <v>475</v>
      </c>
      <c r="AF283" s="4" t="s">
        <v>323</v>
      </c>
      <c r="AG283" s="4" t="s">
        <v>476</v>
      </c>
      <c r="AH283" s="4">
        <v>18</v>
      </c>
    </row>
    <row r="284" spans="1:34" x14ac:dyDescent="0.3">
      <c r="A284" s="7" t="s">
        <v>1071</v>
      </c>
      <c r="B284" s="7" t="s">
        <v>1072</v>
      </c>
      <c r="C284" s="7" t="s">
        <v>19</v>
      </c>
      <c r="D284" s="7" t="s">
        <v>469</v>
      </c>
      <c r="E284" s="7" t="s">
        <v>483</v>
      </c>
      <c r="F284" s="7" t="s">
        <v>471</v>
      </c>
      <c r="G284" s="7" t="s">
        <v>472</v>
      </c>
      <c r="H284" s="7" t="s">
        <v>509</v>
      </c>
      <c r="I284" s="7">
        <v>14</v>
      </c>
      <c r="J284" s="7">
        <v>14</v>
      </c>
      <c r="K284" s="7">
        <v>2</v>
      </c>
      <c r="L284" s="7">
        <v>293</v>
      </c>
      <c r="M284" s="7">
        <v>8</v>
      </c>
      <c r="N284" s="7">
        <v>24.42</v>
      </c>
      <c r="O284" s="7">
        <v>106.17</v>
      </c>
      <c r="P284" s="7">
        <v>0</v>
      </c>
      <c r="Q284" s="7">
        <v>0</v>
      </c>
      <c r="R284" s="7">
        <v>24</v>
      </c>
      <c r="S284" s="7">
        <v>14</v>
      </c>
      <c r="T284" s="7">
        <v>0</v>
      </c>
      <c r="U284" s="7">
        <v>18</v>
      </c>
      <c r="V284" s="7">
        <v>14.73</v>
      </c>
      <c r="W284" s="7">
        <v>6.84</v>
      </c>
      <c r="X284" s="7">
        <v>13.41</v>
      </c>
      <c r="Y284" s="7" t="s">
        <v>529</v>
      </c>
      <c r="Z284" s="7">
        <v>0</v>
      </c>
      <c r="AA284" s="7">
        <v>36.200000000000003</v>
      </c>
      <c r="AB284" s="7">
        <v>13</v>
      </c>
      <c r="AC284" s="7">
        <v>0</v>
      </c>
      <c r="AD284" s="7" t="s">
        <v>28</v>
      </c>
      <c r="AE284" s="8" t="s">
        <v>486</v>
      </c>
      <c r="AF284" s="7" t="s">
        <v>372</v>
      </c>
      <c r="AG284" s="7" t="s">
        <v>476</v>
      </c>
      <c r="AH284" s="7">
        <v>0.5</v>
      </c>
    </row>
    <row r="285" spans="1:34" x14ac:dyDescent="0.3">
      <c r="A285" s="4" t="s">
        <v>1073</v>
      </c>
      <c r="B285" s="4" t="s">
        <v>1074</v>
      </c>
      <c r="C285" s="4" t="s">
        <v>55</v>
      </c>
      <c r="D285" s="4" t="s">
        <v>588</v>
      </c>
      <c r="E285" s="4" t="s">
        <v>543</v>
      </c>
      <c r="F285" s="4" t="s">
        <v>490</v>
      </c>
      <c r="G285" s="4" t="s">
        <v>491</v>
      </c>
      <c r="H285" s="4" t="s">
        <v>492</v>
      </c>
      <c r="I285" s="4">
        <v>9</v>
      </c>
      <c r="J285" s="4">
        <v>9</v>
      </c>
      <c r="K285" s="4">
        <v>3</v>
      </c>
      <c r="L285" s="4">
        <v>173</v>
      </c>
      <c r="M285" s="4">
        <v>99</v>
      </c>
      <c r="N285" s="4">
        <v>28.83</v>
      </c>
      <c r="O285" s="4">
        <v>126.79</v>
      </c>
      <c r="P285" s="4">
        <v>0</v>
      </c>
      <c r="Q285" s="4">
        <v>0</v>
      </c>
      <c r="R285" s="4">
        <v>22</v>
      </c>
      <c r="S285" s="4">
        <v>19</v>
      </c>
      <c r="T285" s="4">
        <v>0</v>
      </c>
      <c r="U285" s="4">
        <v>0</v>
      </c>
      <c r="V285" s="4" t="s">
        <v>493</v>
      </c>
      <c r="W285" s="4" t="s">
        <v>493</v>
      </c>
      <c r="X285" s="4" t="s">
        <v>493</v>
      </c>
      <c r="Y285" s="4" t="s">
        <v>493</v>
      </c>
      <c r="Z285" s="4">
        <v>0</v>
      </c>
      <c r="AA285" s="4">
        <v>0</v>
      </c>
      <c r="AB285" s="4">
        <v>3</v>
      </c>
      <c r="AC285" s="4">
        <v>0</v>
      </c>
      <c r="AD285" s="4" t="s">
        <v>20</v>
      </c>
      <c r="AE285" s="3" t="s">
        <v>475</v>
      </c>
      <c r="AF285" s="4" t="s">
        <v>269</v>
      </c>
      <c r="AG285" s="4" t="s">
        <v>476</v>
      </c>
      <c r="AH285" s="4">
        <v>7.5</v>
      </c>
    </row>
    <row r="286" spans="1:34" x14ac:dyDescent="0.3">
      <c r="A286" s="7" t="s">
        <v>1075</v>
      </c>
      <c r="B286" s="7" t="s">
        <v>1076</v>
      </c>
      <c r="C286" s="7" t="s">
        <v>38</v>
      </c>
      <c r="D286" s="7" t="s">
        <v>654</v>
      </c>
      <c r="E286" s="7" t="s">
        <v>483</v>
      </c>
      <c r="F286" s="7" t="s">
        <v>484</v>
      </c>
      <c r="G286" s="7" t="s">
        <v>472</v>
      </c>
      <c r="H286" s="7" t="s">
        <v>514</v>
      </c>
      <c r="I286" s="7">
        <v>11</v>
      </c>
      <c r="J286" s="7">
        <v>10</v>
      </c>
      <c r="K286" s="7">
        <v>3</v>
      </c>
      <c r="L286" s="7">
        <v>187</v>
      </c>
      <c r="M286" s="7">
        <v>60</v>
      </c>
      <c r="N286" s="7">
        <v>26.71</v>
      </c>
      <c r="O286" s="7">
        <v>153.07</v>
      </c>
      <c r="P286" s="7">
        <v>0</v>
      </c>
      <c r="Q286" s="7">
        <v>0</v>
      </c>
      <c r="R286" s="7">
        <v>24</v>
      </c>
      <c r="S286" s="7">
        <v>11</v>
      </c>
      <c r="T286" s="7">
        <v>0</v>
      </c>
      <c r="U286" s="7">
        <v>5</v>
      </c>
      <c r="V286" s="7">
        <v>15.55</v>
      </c>
      <c r="W286" s="7">
        <v>10.28</v>
      </c>
      <c r="X286" s="7">
        <v>16.78</v>
      </c>
      <c r="Y286" s="7" t="s">
        <v>572</v>
      </c>
      <c r="Z286" s="7">
        <v>0</v>
      </c>
      <c r="AA286" s="7">
        <v>30.9</v>
      </c>
      <c r="AB286" s="7">
        <v>9</v>
      </c>
      <c r="AC286" s="7">
        <v>0</v>
      </c>
      <c r="AD286" s="7" t="s">
        <v>37</v>
      </c>
      <c r="AE286" s="8" t="s">
        <v>486</v>
      </c>
      <c r="AF286" s="7" t="s">
        <v>274</v>
      </c>
      <c r="AG286" s="7" t="s">
        <v>476</v>
      </c>
      <c r="AH286" s="7">
        <v>0.4</v>
      </c>
    </row>
    <row r="287" spans="1:34" x14ac:dyDescent="0.3">
      <c r="A287" s="4" t="s">
        <v>1077</v>
      </c>
      <c r="B287" s="4" t="s">
        <v>1078</v>
      </c>
      <c r="C287" s="4" t="s">
        <v>38</v>
      </c>
      <c r="D287" s="4" t="s">
        <v>654</v>
      </c>
      <c r="E287" s="4" t="s">
        <v>483</v>
      </c>
      <c r="F287" s="4" t="s">
        <v>484</v>
      </c>
      <c r="G287" s="4" t="s">
        <v>472</v>
      </c>
      <c r="H287" s="4" t="s">
        <v>509</v>
      </c>
      <c r="I287" s="4">
        <v>13</v>
      </c>
      <c r="J287" s="4">
        <v>12</v>
      </c>
      <c r="K287" s="4">
        <v>1</v>
      </c>
      <c r="L287" s="4">
        <v>523</v>
      </c>
      <c r="M287" s="4">
        <v>88</v>
      </c>
      <c r="N287" s="4">
        <v>47.55</v>
      </c>
      <c r="O287" s="4">
        <v>129.71</v>
      </c>
      <c r="P287" s="4">
        <v>1</v>
      </c>
      <c r="Q287" s="4">
        <v>0</v>
      </c>
      <c r="R287" s="4">
        <v>61</v>
      </c>
      <c r="S287" s="4">
        <v>34</v>
      </c>
      <c r="T287" s="4">
        <v>0</v>
      </c>
      <c r="U287" s="4">
        <v>12</v>
      </c>
      <c r="V287" s="4">
        <v>22.7</v>
      </c>
      <c r="W287" s="4">
        <v>8.8000000000000007</v>
      </c>
      <c r="X287" s="4">
        <v>17.95</v>
      </c>
      <c r="Y287" s="4" t="s">
        <v>532</v>
      </c>
      <c r="Z287" s="4">
        <v>0</v>
      </c>
      <c r="AA287" s="4">
        <v>46.7</v>
      </c>
      <c r="AB287" s="4">
        <v>10</v>
      </c>
      <c r="AC287" s="4">
        <v>0</v>
      </c>
      <c r="AD287" s="4" t="s">
        <v>38</v>
      </c>
      <c r="AE287" s="8" t="s">
        <v>486</v>
      </c>
      <c r="AF287" s="4" t="s">
        <v>406</v>
      </c>
      <c r="AG287" s="4" t="s">
        <v>476</v>
      </c>
      <c r="AH287" s="4">
        <v>5</v>
      </c>
    </row>
    <row r="288" spans="1:34" x14ac:dyDescent="0.3">
      <c r="A288" s="7" t="s">
        <v>1079</v>
      </c>
      <c r="B288" s="7" t="s">
        <v>1080</v>
      </c>
      <c r="C288" s="7" t="s">
        <v>28</v>
      </c>
      <c r="D288" s="7" t="s">
        <v>779</v>
      </c>
      <c r="E288" s="7" t="s">
        <v>489</v>
      </c>
      <c r="F288" s="7" t="s">
        <v>471</v>
      </c>
      <c r="G288" s="7" t="s">
        <v>472</v>
      </c>
      <c r="H288" s="7" t="s">
        <v>500</v>
      </c>
      <c r="I288" s="7">
        <v>9</v>
      </c>
      <c r="J288" s="7">
        <v>7</v>
      </c>
      <c r="K288" s="7">
        <v>0</v>
      </c>
      <c r="L288" s="7">
        <v>210</v>
      </c>
      <c r="M288" s="7">
        <v>26</v>
      </c>
      <c r="N288" s="7">
        <v>30</v>
      </c>
      <c r="O288" s="7">
        <v>107.06</v>
      </c>
      <c r="P288" s="7">
        <v>0</v>
      </c>
      <c r="Q288" s="7">
        <v>0</v>
      </c>
      <c r="R288" s="7">
        <v>17</v>
      </c>
      <c r="S288" s="7">
        <v>10</v>
      </c>
      <c r="T288" s="7">
        <v>2</v>
      </c>
      <c r="U288" s="7">
        <v>20</v>
      </c>
      <c r="V288" s="7">
        <v>22.15</v>
      </c>
      <c r="W288" s="7">
        <v>7.7</v>
      </c>
      <c r="X288" s="7">
        <v>14.58</v>
      </c>
      <c r="Y288" s="7" t="s">
        <v>501</v>
      </c>
      <c r="Z288" s="7">
        <v>1</v>
      </c>
      <c r="AA288" s="7">
        <v>29.5</v>
      </c>
      <c r="AB288" s="7">
        <v>6</v>
      </c>
      <c r="AC288" s="7">
        <v>0</v>
      </c>
      <c r="AD288" s="7" t="s">
        <v>38</v>
      </c>
      <c r="AE288" s="8" t="s">
        <v>486</v>
      </c>
      <c r="AF288" s="7" t="s">
        <v>377</v>
      </c>
      <c r="AG288" s="7" t="s">
        <v>502</v>
      </c>
      <c r="AH288" s="7">
        <v>0.5</v>
      </c>
    </row>
    <row r="289" spans="1:34" x14ac:dyDescent="0.3">
      <c r="A289" s="4" t="s">
        <v>1081</v>
      </c>
      <c r="B289" s="4" t="s">
        <v>1082</v>
      </c>
      <c r="C289" s="4" t="s">
        <v>38</v>
      </c>
      <c r="D289" s="4" t="s">
        <v>654</v>
      </c>
      <c r="E289" s="4" t="s">
        <v>470</v>
      </c>
      <c r="F289" s="4" t="s">
        <v>490</v>
      </c>
      <c r="G289" s="4" t="s">
        <v>472</v>
      </c>
      <c r="H289" s="4" t="s">
        <v>492</v>
      </c>
      <c r="I289" s="4">
        <v>9</v>
      </c>
      <c r="J289" s="4">
        <v>7</v>
      </c>
      <c r="K289" s="4">
        <v>2</v>
      </c>
      <c r="L289" s="4">
        <v>144</v>
      </c>
      <c r="M289" s="4">
        <v>91</v>
      </c>
      <c r="N289" s="4">
        <v>28.8</v>
      </c>
      <c r="O289" s="4">
        <v>149.19999999999999</v>
      </c>
      <c r="P289" s="4">
        <v>0</v>
      </c>
      <c r="Q289" s="4">
        <v>0</v>
      </c>
      <c r="R289" s="4">
        <v>18</v>
      </c>
      <c r="S289" s="4">
        <v>8</v>
      </c>
      <c r="T289" s="4">
        <v>0</v>
      </c>
      <c r="U289" s="4">
        <v>0</v>
      </c>
      <c r="V289" s="4" t="s">
        <v>493</v>
      </c>
      <c r="W289" s="4" t="s">
        <v>493</v>
      </c>
      <c r="X289" s="4" t="s">
        <v>493</v>
      </c>
      <c r="Y289" s="4" t="s">
        <v>493</v>
      </c>
      <c r="Z289" s="4">
        <v>0</v>
      </c>
      <c r="AA289" s="4">
        <v>0</v>
      </c>
      <c r="AB289" s="4">
        <v>2</v>
      </c>
      <c r="AC289" s="4">
        <v>0</v>
      </c>
      <c r="AD289" s="4" t="s">
        <v>28</v>
      </c>
      <c r="AE289" s="8" t="s">
        <v>486</v>
      </c>
      <c r="AF289" s="4" t="s">
        <v>372</v>
      </c>
      <c r="AG289" s="4" t="s">
        <v>476</v>
      </c>
      <c r="AH289" s="4">
        <v>0.5</v>
      </c>
    </row>
    <row r="290" spans="1:34" x14ac:dyDescent="0.3">
      <c r="A290" s="7" t="s">
        <v>1083</v>
      </c>
      <c r="B290" s="7" t="s">
        <v>1084</v>
      </c>
      <c r="C290" s="7" t="s">
        <v>20</v>
      </c>
      <c r="D290" s="7" t="s">
        <v>523</v>
      </c>
      <c r="E290" s="7" t="s">
        <v>483</v>
      </c>
      <c r="F290" s="7" t="s">
        <v>490</v>
      </c>
      <c r="G290" s="7" t="s">
        <v>491</v>
      </c>
      <c r="H290" s="7" t="s">
        <v>492</v>
      </c>
      <c r="I290" s="7">
        <v>13</v>
      </c>
      <c r="J290" s="7">
        <v>11</v>
      </c>
      <c r="K290" s="7">
        <v>3</v>
      </c>
      <c r="L290" s="7">
        <v>405</v>
      </c>
      <c r="M290" s="7">
        <v>118</v>
      </c>
      <c r="N290" s="7">
        <v>50.62</v>
      </c>
      <c r="O290" s="7">
        <v>174.41</v>
      </c>
      <c r="P290" s="7">
        <v>0</v>
      </c>
      <c r="Q290" s="7">
        <v>0</v>
      </c>
      <c r="R290" s="7">
        <v>36</v>
      </c>
      <c r="S290" s="7">
        <v>28</v>
      </c>
      <c r="T290" s="7">
        <v>1</v>
      </c>
      <c r="U290" s="7">
        <v>0</v>
      </c>
      <c r="V290" s="7" t="s">
        <v>493</v>
      </c>
      <c r="W290" s="7" t="s">
        <v>493</v>
      </c>
      <c r="X290" s="7" t="s">
        <v>493</v>
      </c>
      <c r="Y290" s="7" t="s">
        <v>493</v>
      </c>
      <c r="Z290" s="7">
        <v>0</v>
      </c>
      <c r="AA290" s="7">
        <v>0</v>
      </c>
      <c r="AB290" s="7">
        <v>8</v>
      </c>
      <c r="AC290" s="7">
        <v>0</v>
      </c>
      <c r="AD290" s="7" t="s">
        <v>28</v>
      </c>
      <c r="AE290" s="8" t="s">
        <v>486</v>
      </c>
      <c r="AF290" s="7" t="s">
        <v>52</v>
      </c>
      <c r="AG290" s="7" t="s">
        <v>476</v>
      </c>
      <c r="AH290" s="7">
        <v>15</v>
      </c>
    </row>
    <row r="291" spans="1:34" x14ac:dyDescent="0.3">
      <c r="A291" s="4" t="s">
        <v>1085</v>
      </c>
      <c r="B291" s="4" t="s">
        <v>1086</v>
      </c>
      <c r="C291" s="4" t="s">
        <v>20</v>
      </c>
      <c r="D291" s="4" t="s">
        <v>523</v>
      </c>
      <c r="E291" s="4" t="s">
        <v>483</v>
      </c>
      <c r="F291" s="4" t="s">
        <v>490</v>
      </c>
      <c r="G291" s="4" t="s">
        <v>472</v>
      </c>
      <c r="H291" s="4" t="s">
        <v>492</v>
      </c>
      <c r="I291" s="4">
        <v>11</v>
      </c>
      <c r="J291" s="4">
        <v>11</v>
      </c>
      <c r="K291" s="4">
        <v>3</v>
      </c>
      <c r="L291" s="4">
        <v>341</v>
      </c>
      <c r="M291" s="4">
        <v>30</v>
      </c>
      <c r="N291" s="4">
        <v>42.62</v>
      </c>
      <c r="O291" s="4">
        <v>139.97999999999999</v>
      </c>
      <c r="P291" s="4">
        <v>0</v>
      </c>
      <c r="Q291" s="4">
        <v>0</v>
      </c>
      <c r="R291" s="4">
        <v>39</v>
      </c>
      <c r="S291" s="4">
        <v>40</v>
      </c>
      <c r="T291" s="4">
        <v>0</v>
      </c>
      <c r="U291" s="4">
        <v>0</v>
      </c>
      <c r="V291" s="4" t="s">
        <v>493</v>
      </c>
      <c r="W291" s="4" t="s">
        <v>493</v>
      </c>
      <c r="X291" s="4" t="s">
        <v>493</v>
      </c>
      <c r="Y291" s="4" t="s">
        <v>493</v>
      </c>
      <c r="Z291" s="4">
        <v>0</v>
      </c>
      <c r="AA291" s="4">
        <v>0</v>
      </c>
      <c r="AB291" s="4">
        <v>8</v>
      </c>
      <c r="AC291" s="4">
        <v>0</v>
      </c>
      <c r="AD291" s="4" t="s">
        <v>38</v>
      </c>
      <c r="AE291" s="3" t="s">
        <v>475</v>
      </c>
      <c r="AF291" s="4" t="s">
        <v>34</v>
      </c>
      <c r="AG291" s="4" t="s">
        <v>476</v>
      </c>
      <c r="AH291" s="4">
        <v>0.2</v>
      </c>
    </row>
    <row r="292" spans="1:34" x14ac:dyDescent="0.3">
      <c r="A292" s="7" t="s">
        <v>1087</v>
      </c>
      <c r="B292" s="7" t="s">
        <v>1088</v>
      </c>
      <c r="C292" s="7" t="s">
        <v>28</v>
      </c>
      <c r="D292" s="7" t="s">
        <v>779</v>
      </c>
      <c r="E292" s="7" t="s">
        <v>483</v>
      </c>
      <c r="F292" s="7" t="s">
        <v>490</v>
      </c>
      <c r="G292" s="7" t="s">
        <v>472</v>
      </c>
      <c r="H292" s="7" t="s">
        <v>492</v>
      </c>
      <c r="I292" s="7">
        <v>12</v>
      </c>
      <c r="J292" s="7">
        <v>12</v>
      </c>
      <c r="K292" s="7">
        <v>2</v>
      </c>
      <c r="L292" s="7">
        <v>203</v>
      </c>
      <c r="M292" s="7">
        <v>111</v>
      </c>
      <c r="N292" s="7">
        <v>20.3</v>
      </c>
      <c r="O292" s="7">
        <v>163.82</v>
      </c>
      <c r="P292" s="7">
        <v>0</v>
      </c>
      <c r="Q292" s="7">
        <v>0</v>
      </c>
      <c r="R292" s="7">
        <v>27</v>
      </c>
      <c r="S292" s="7">
        <v>21</v>
      </c>
      <c r="T292" s="7">
        <v>1</v>
      </c>
      <c r="U292" s="7">
        <v>0</v>
      </c>
      <c r="V292" s="7" t="s">
        <v>493</v>
      </c>
      <c r="W292" s="7" t="s">
        <v>493</v>
      </c>
      <c r="X292" s="7" t="s">
        <v>493</v>
      </c>
      <c r="Y292" s="7" t="s">
        <v>493</v>
      </c>
      <c r="Z292" s="7">
        <v>0</v>
      </c>
      <c r="AA292" s="7">
        <v>0</v>
      </c>
      <c r="AB292" s="7">
        <v>5</v>
      </c>
      <c r="AC292" s="7">
        <v>0</v>
      </c>
      <c r="AD292" s="7" t="s">
        <v>28</v>
      </c>
      <c r="AE292" s="8" t="s">
        <v>486</v>
      </c>
      <c r="AF292" s="7" t="s">
        <v>372</v>
      </c>
      <c r="AG292" s="7" t="s">
        <v>476</v>
      </c>
      <c r="AH292" s="7">
        <v>2</v>
      </c>
    </row>
    <row r="293" spans="1:34" x14ac:dyDescent="0.3">
      <c r="A293" s="4" t="s">
        <v>1089</v>
      </c>
      <c r="B293" s="4" t="s">
        <v>1090</v>
      </c>
      <c r="C293" s="4" t="s">
        <v>38</v>
      </c>
      <c r="D293" s="4" t="s">
        <v>654</v>
      </c>
      <c r="E293" s="4" t="s">
        <v>589</v>
      </c>
      <c r="F293" s="4" t="s">
        <v>484</v>
      </c>
      <c r="G293" s="4" t="s">
        <v>472</v>
      </c>
      <c r="H293" s="4" t="s">
        <v>500</v>
      </c>
      <c r="I293" s="4">
        <v>12</v>
      </c>
      <c r="J293" s="4">
        <v>10</v>
      </c>
      <c r="K293" s="4">
        <v>3</v>
      </c>
      <c r="L293" s="4">
        <v>129</v>
      </c>
      <c r="M293" s="4">
        <v>81</v>
      </c>
      <c r="N293" s="4">
        <v>18.43</v>
      </c>
      <c r="O293" s="4">
        <v>125.06</v>
      </c>
      <c r="P293" s="4">
        <v>0</v>
      </c>
      <c r="Q293" s="4">
        <v>0</v>
      </c>
      <c r="R293" s="4">
        <v>13</v>
      </c>
      <c r="S293" s="4">
        <v>11</v>
      </c>
      <c r="T293" s="4">
        <v>0</v>
      </c>
      <c r="U293" s="4">
        <v>18</v>
      </c>
      <c r="V293" s="4">
        <v>16.510000000000002</v>
      </c>
      <c r="W293" s="4">
        <v>9.75</v>
      </c>
      <c r="X293" s="4">
        <v>16.43</v>
      </c>
      <c r="Y293" s="4" t="s">
        <v>765</v>
      </c>
      <c r="Z293" s="4">
        <v>0</v>
      </c>
      <c r="AA293" s="4">
        <v>32.200000000000003</v>
      </c>
      <c r="AB293" s="4">
        <v>10</v>
      </c>
      <c r="AC293" s="4">
        <v>0</v>
      </c>
      <c r="AD293" s="4" t="s">
        <v>142</v>
      </c>
      <c r="AE293" s="3" t="s">
        <v>475</v>
      </c>
      <c r="AF293" s="4" t="s">
        <v>139</v>
      </c>
      <c r="AG293" s="4" t="s">
        <v>476</v>
      </c>
      <c r="AH293" s="4">
        <v>5</v>
      </c>
    </row>
    <row r="294" spans="1:34" x14ac:dyDescent="0.3">
      <c r="A294" s="7" t="s">
        <v>1091</v>
      </c>
      <c r="B294" s="7" t="s">
        <v>1092</v>
      </c>
      <c r="C294" s="7" t="s">
        <v>38</v>
      </c>
      <c r="D294" s="7" t="s">
        <v>654</v>
      </c>
      <c r="E294" s="7" t="s">
        <v>483</v>
      </c>
      <c r="F294" s="7" t="s">
        <v>484</v>
      </c>
      <c r="G294" s="7" t="s">
        <v>491</v>
      </c>
      <c r="H294" s="7" t="s">
        <v>473</v>
      </c>
      <c r="I294" s="7">
        <v>14</v>
      </c>
      <c r="J294" s="7">
        <v>14</v>
      </c>
      <c r="K294" s="7">
        <v>1</v>
      </c>
      <c r="L294" s="7">
        <v>254</v>
      </c>
      <c r="M294" s="7">
        <v>81</v>
      </c>
      <c r="N294" s="7">
        <v>19.54</v>
      </c>
      <c r="O294" s="7">
        <v>182.1</v>
      </c>
      <c r="P294" s="7">
        <v>0</v>
      </c>
      <c r="Q294" s="7">
        <v>0</v>
      </c>
      <c r="R294" s="7">
        <v>28</v>
      </c>
      <c r="S294" s="7">
        <v>28</v>
      </c>
      <c r="T294" s="7">
        <v>1</v>
      </c>
      <c r="U294" s="7">
        <v>8</v>
      </c>
      <c r="V294" s="7">
        <v>19.739999999999998</v>
      </c>
      <c r="W294" s="7">
        <v>6.81</v>
      </c>
      <c r="X294" s="7">
        <v>19.8</v>
      </c>
      <c r="Y294" s="7" t="s">
        <v>736</v>
      </c>
      <c r="Z294" s="7">
        <v>0</v>
      </c>
      <c r="AA294" s="7">
        <v>41.3</v>
      </c>
      <c r="AB294" s="7">
        <v>11</v>
      </c>
      <c r="AC294" s="7">
        <v>0</v>
      </c>
      <c r="AD294" s="7" t="s">
        <v>28</v>
      </c>
      <c r="AE294" s="8" t="s">
        <v>486</v>
      </c>
      <c r="AF294" s="7" t="s">
        <v>129</v>
      </c>
      <c r="AG294" s="7" t="s">
        <v>476</v>
      </c>
      <c r="AH294" s="7">
        <v>6</v>
      </c>
    </row>
    <row r="295" spans="1:34" x14ac:dyDescent="0.3">
      <c r="A295" s="4" t="s">
        <v>1093</v>
      </c>
      <c r="B295" s="4" t="s">
        <v>1094</v>
      </c>
      <c r="C295" s="4" t="s">
        <v>37</v>
      </c>
      <c r="D295" s="4" t="s">
        <v>555</v>
      </c>
      <c r="E295" s="4" t="s">
        <v>483</v>
      </c>
      <c r="F295" s="4" t="s">
        <v>484</v>
      </c>
      <c r="G295" s="4" t="s">
        <v>491</v>
      </c>
      <c r="H295" s="4" t="s">
        <v>509</v>
      </c>
      <c r="I295" s="4">
        <v>10</v>
      </c>
      <c r="J295" s="4">
        <v>8</v>
      </c>
      <c r="K295" s="4">
        <v>1</v>
      </c>
      <c r="L295" s="4">
        <v>248</v>
      </c>
      <c r="M295" s="4">
        <v>53</v>
      </c>
      <c r="N295" s="4">
        <v>35.43</v>
      </c>
      <c r="O295" s="4">
        <v>181.57</v>
      </c>
      <c r="P295" s="4">
        <v>0</v>
      </c>
      <c r="Q295" s="4">
        <v>0</v>
      </c>
      <c r="R295" s="4">
        <v>29</v>
      </c>
      <c r="S295" s="4">
        <v>29</v>
      </c>
      <c r="T295" s="4">
        <v>0</v>
      </c>
      <c r="U295" s="4">
        <v>14</v>
      </c>
      <c r="V295" s="4">
        <v>25</v>
      </c>
      <c r="W295" s="4">
        <v>10.06</v>
      </c>
      <c r="X295" s="4">
        <v>18.3</v>
      </c>
      <c r="Y295" s="4" t="s">
        <v>692</v>
      </c>
      <c r="Z295" s="4">
        <v>0</v>
      </c>
      <c r="AA295" s="4">
        <v>33.4</v>
      </c>
      <c r="AB295" s="4">
        <v>9</v>
      </c>
      <c r="AC295" s="4">
        <v>0</v>
      </c>
      <c r="AD295" s="4" t="s">
        <v>81</v>
      </c>
      <c r="AE295" s="8" t="s">
        <v>486</v>
      </c>
      <c r="AF295" s="4" t="s">
        <v>368</v>
      </c>
      <c r="AG295" s="4" t="s">
        <v>476</v>
      </c>
      <c r="AH295" s="4">
        <v>6</v>
      </c>
    </row>
    <row r="296" spans="1:34" x14ac:dyDescent="0.3">
      <c r="A296" s="7" t="s">
        <v>1095</v>
      </c>
      <c r="B296" s="7" t="s">
        <v>1096</v>
      </c>
      <c r="C296" s="7" t="s">
        <v>47</v>
      </c>
      <c r="D296" s="7" t="s">
        <v>717</v>
      </c>
      <c r="E296" s="7" t="s">
        <v>470</v>
      </c>
      <c r="F296" s="7" t="s">
        <v>490</v>
      </c>
      <c r="G296" s="7" t="s">
        <v>472</v>
      </c>
      <c r="H296" s="7" t="s">
        <v>492</v>
      </c>
      <c r="I296" s="7">
        <v>9</v>
      </c>
      <c r="J296" s="7">
        <v>7</v>
      </c>
      <c r="K296" s="7">
        <v>2</v>
      </c>
      <c r="L296" s="7">
        <v>144</v>
      </c>
      <c r="M296" s="7">
        <v>91</v>
      </c>
      <c r="N296" s="7">
        <v>28.8</v>
      </c>
      <c r="O296" s="7">
        <v>149.19999999999999</v>
      </c>
      <c r="P296" s="7">
        <v>0</v>
      </c>
      <c r="Q296" s="7">
        <v>0</v>
      </c>
      <c r="R296" s="7">
        <v>18</v>
      </c>
      <c r="S296" s="7">
        <v>8</v>
      </c>
      <c r="T296" s="7">
        <v>0</v>
      </c>
      <c r="U296" s="7">
        <v>0</v>
      </c>
      <c r="V296" s="7" t="s">
        <v>493</v>
      </c>
      <c r="W296" s="7" t="s">
        <v>493</v>
      </c>
      <c r="X296" s="7" t="s">
        <v>493</v>
      </c>
      <c r="Y296" s="7" t="s">
        <v>493</v>
      </c>
      <c r="Z296" s="7">
        <v>0</v>
      </c>
      <c r="AA296" s="7">
        <v>0</v>
      </c>
      <c r="AB296" s="7">
        <v>2</v>
      </c>
      <c r="AC296" s="7">
        <v>0</v>
      </c>
      <c r="AD296" s="7" t="s">
        <v>28</v>
      </c>
      <c r="AE296" s="8" t="s">
        <v>486</v>
      </c>
      <c r="AF296" s="7" t="s">
        <v>372</v>
      </c>
      <c r="AG296" s="7" t="s">
        <v>476</v>
      </c>
      <c r="AH296" s="7">
        <v>0.5</v>
      </c>
    </row>
    <row r="297" spans="1:34" x14ac:dyDescent="0.3">
      <c r="A297" s="4" t="s">
        <v>1097</v>
      </c>
      <c r="B297" s="4" t="s">
        <v>1098</v>
      </c>
      <c r="C297" s="4" t="s">
        <v>20</v>
      </c>
      <c r="D297" s="4" t="s">
        <v>523</v>
      </c>
      <c r="E297" s="4" t="s">
        <v>603</v>
      </c>
      <c r="F297" s="4" t="s">
        <v>490</v>
      </c>
      <c r="G297" s="4" t="s">
        <v>491</v>
      </c>
      <c r="H297" s="4" t="s">
        <v>492</v>
      </c>
      <c r="I297" s="4">
        <v>8</v>
      </c>
      <c r="J297" s="4">
        <v>7</v>
      </c>
      <c r="K297" s="4">
        <v>2</v>
      </c>
      <c r="L297" s="4">
        <v>238</v>
      </c>
      <c r="M297" s="4">
        <v>50</v>
      </c>
      <c r="N297" s="4">
        <v>47.6</v>
      </c>
      <c r="O297" s="4">
        <v>143.96</v>
      </c>
      <c r="P297" s="4">
        <v>0</v>
      </c>
      <c r="Q297" s="4">
        <v>0</v>
      </c>
      <c r="R297" s="4">
        <v>30</v>
      </c>
      <c r="S297" s="4">
        <v>9</v>
      </c>
      <c r="T297" s="4">
        <v>0</v>
      </c>
      <c r="U297" s="4">
        <v>0</v>
      </c>
      <c r="V297" s="4" t="s">
        <v>493</v>
      </c>
      <c r="W297" s="4" t="s">
        <v>493</v>
      </c>
      <c r="X297" s="4" t="s">
        <v>493</v>
      </c>
      <c r="Y297" s="4" t="s">
        <v>493</v>
      </c>
      <c r="Z297" s="4">
        <v>0</v>
      </c>
      <c r="AA297" s="4">
        <v>0</v>
      </c>
      <c r="AB297" s="4">
        <v>2</v>
      </c>
      <c r="AC297" s="4">
        <v>0</v>
      </c>
      <c r="AD297" s="4" t="s">
        <v>46</v>
      </c>
      <c r="AE297" s="8" t="s">
        <v>486</v>
      </c>
      <c r="AF297" s="4" t="s">
        <v>43</v>
      </c>
      <c r="AG297" s="4" t="s">
        <v>476</v>
      </c>
      <c r="AH297" s="4">
        <v>10</v>
      </c>
    </row>
    <row r="298" spans="1:34" x14ac:dyDescent="0.3">
      <c r="A298" s="7" t="s">
        <v>1099</v>
      </c>
      <c r="B298" s="7" t="s">
        <v>1100</v>
      </c>
      <c r="C298" s="7" t="s">
        <v>19</v>
      </c>
      <c r="D298" s="7" t="s">
        <v>469</v>
      </c>
      <c r="E298" s="7" t="s">
        <v>483</v>
      </c>
      <c r="F298" s="7" t="s">
        <v>471</v>
      </c>
      <c r="G298" s="7" t="s">
        <v>472</v>
      </c>
      <c r="H298" s="7" t="s">
        <v>514</v>
      </c>
      <c r="I298" s="7">
        <v>11</v>
      </c>
      <c r="J298" s="7">
        <v>11</v>
      </c>
      <c r="K298" s="7">
        <v>0</v>
      </c>
      <c r="L298" s="7">
        <v>36</v>
      </c>
      <c r="M298" s="7">
        <v>19</v>
      </c>
      <c r="N298" s="7">
        <v>3.27</v>
      </c>
      <c r="O298" s="7">
        <v>122.14</v>
      </c>
      <c r="P298" s="7">
        <v>0</v>
      </c>
      <c r="Q298" s="7">
        <v>0</v>
      </c>
      <c r="R298" s="7">
        <v>3</v>
      </c>
      <c r="S298" s="7">
        <v>1</v>
      </c>
      <c r="T298" s="7">
        <v>0</v>
      </c>
      <c r="U298" s="7">
        <v>0</v>
      </c>
      <c r="V298" s="7">
        <v>24.33</v>
      </c>
      <c r="W298" s="7">
        <v>7.9</v>
      </c>
      <c r="X298" s="7">
        <v>17.16</v>
      </c>
      <c r="Y298" s="7" t="s">
        <v>701</v>
      </c>
      <c r="Z298" s="7">
        <v>0</v>
      </c>
      <c r="AA298" s="7">
        <v>40.9</v>
      </c>
      <c r="AB298" s="7">
        <v>2</v>
      </c>
      <c r="AC298" s="7">
        <v>0</v>
      </c>
      <c r="AD298" s="7" t="s">
        <v>46</v>
      </c>
      <c r="AE298" s="3" t="s">
        <v>475</v>
      </c>
      <c r="AF298" s="7" t="s">
        <v>279</v>
      </c>
      <c r="AG298" s="7" t="s">
        <v>476</v>
      </c>
      <c r="AH298" s="7">
        <v>21</v>
      </c>
    </row>
    <row r="299" spans="1:34" x14ac:dyDescent="0.3">
      <c r="A299" s="4" t="s">
        <v>1101</v>
      </c>
      <c r="B299" s="4" t="s">
        <v>1102</v>
      </c>
      <c r="C299" s="4" t="s">
        <v>19</v>
      </c>
      <c r="D299" s="4" t="s">
        <v>469</v>
      </c>
      <c r="E299" s="4" t="s">
        <v>483</v>
      </c>
      <c r="F299" s="4" t="s">
        <v>490</v>
      </c>
      <c r="G299" s="4" t="s">
        <v>491</v>
      </c>
      <c r="H299" s="4" t="s">
        <v>492</v>
      </c>
      <c r="I299" s="4">
        <v>13</v>
      </c>
      <c r="J299" s="4">
        <v>11</v>
      </c>
      <c r="K299" s="4">
        <v>3</v>
      </c>
      <c r="L299" s="4">
        <v>405</v>
      </c>
      <c r="M299" s="4">
        <v>118</v>
      </c>
      <c r="N299" s="4">
        <v>50.62</v>
      </c>
      <c r="O299" s="4">
        <v>174.41</v>
      </c>
      <c r="P299" s="4">
        <v>0</v>
      </c>
      <c r="Q299" s="4">
        <v>0</v>
      </c>
      <c r="R299" s="4">
        <v>36</v>
      </c>
      <c r="S299" s="4">
        <v>28</v>
      </c>
      <c r="T299" s="4">
        <v>1</v>
      </c>
      <c r="U299" s="4">
        <v>0</v>
      </c>
      <c r="V299" s="4" t="s">
        <v>493</v>
      </c>
      <c r="W299" s="4" t="s">
        <v>493</v>
      </c>
      <c r="X299" s="4" t="s">
        <v>493</v>
      </c>
      <c r="Y299" s="4" t="s">
        <v>493</v>
      </c>
      <c r="Z299" s="4">
        <v>0</v>
      </c>
      <c r="AA299" s="4">
        <v>0</v>
      </c>
      <c r="AB299" s="4">
        <v>8</v>
      </c>
      <c r="AC299" s="4">
        <v>0</v>
      </c>
      <c r="AD299" s="4" t="s">
        <v>28</v>
      </c>
      <c r="AE299" s="8" t="s">
        <v>486</v>
      </c>
      <c r="AF299" s="4" t="s">
        <v>52</v>
      </c>
      <c r="AG299" s="4" t="s">
        <v>476</v>
      </c>
      <c r="AH299" s="4">
        <v>15</v>
      </c>
    </row>
    <row r="300" spans="1:34" x14ac:dyDescent="0.3">
      <c r="A300" s="7" t="s">
        <v>1103</v>
      </c>
      <c r="B300" s="7" t="s">
        <v>1104</v>
      </c>
      <c r="C300" s="7" t="s">
        <v>142</v>
      </c>
      <c r="D300" s="7" t="s">
        <v>684</v>
      </c>
      <c r="E300" s="7" t="s">
        <v>489</v>
      </c>
      <c r="F300" s="7" t="s">
        <v>490</v>
      </c>
      <c r="G300" s="7" t="s">
        <v>472</v>
      </c>
      <c r="H300" s="7" t="s">
        <v>492</v>
      </c>
      <c r="I300" s="7">
        <v>13</v>
      </c>
      <c r="J300" s="7">
        <v>12</v>
      </c>
      <c r="K300" s="7">
        <v>3</v>
      </c>
      <c r="L300" s="7">
        <v>299</v>
      </c>
      <c r="M300" s="7">
        <v>45</v>
      </c>
      <c r="N300" s="7">
        <v>33.22</v>
      </c>
      <c r="O300" s="7">
        <v>183.16</v>
      </c>
      <c r="P300" s="7">
        <v>0</v>
      </c>
      <c r="Q300" s="7">
        <v>0</v>
      </c>
      <c r="R300" s="7">
        <v>32</v>
      </c>
      <c r="S300" s="7">
        <v>27</v>
      </c>
      <c r="T300" s="7">
        <v>1</v>
      </c>
      <c r="U300" s="7">
        <v>0</v>
      </c>
      <c r="V300" s="7" t="s">
        <v>493</v>
      </c>
      <c r="W300" s="7" t="s">
        <v>493</v>
      </c>
      <c r="X300" s="7" t="s">
        <v>493</v>
      </c>
      <c r="Y300" s="7" t="s">
        <v>493</v>
      </c>
      <c r="Z300" s="7">
        <v>0</v>
      </c>
      <c r="AA300" s="7">
        <v>0</v>
      </c>
      <c r="AB300" s="7">
        <v>7</v>
      </c>
      <c r="AC300" s="7">
        <v>0</v>
      </c>
      <c r="AD300" s="7" t="s">
        <v>55</v>
      </c>
      <c r="AE300" s="8" t="s">
        <v>486</v>
      </c>
      <c r="AF300" s="7" t="s">
        <v>181</v>
      </c>
      <c r="AG300" s="7" t="s">
        <v>476</v>
      </c>
      <c r="AH300" s="7">
        <v>0.5</v>
      </c>
    </row>
    <row r="301" spans="1:34" x14ac:dyDescent="0.3">
      <c r="A301" s="4" t="s">
        <v>1105</v>
      </c>
      <c r="B301" s="4" t="s">
        <v>1106</v>
      </c>
      <c r="C301" s="4" t="s">
        <v>55</v>
      </c>
      <c r="D301" s="4" t="s">
        <v>588</v>
      </c>
      <c r="E301" s="4" t="s">
        <v>483</v>
      </c>
      <c r="F301" s="4" t="s">
        <v>484</v>
      </c>
      <c r="G301" s="4" t="s">
        <v>491</v>
      </c>
      <c r="H301" s="4" t="s">
        <v>556</v>
      </c>
      <c r="I301" s="4">
        <v>14</v>
      </c>
      <c r="J301" s="4">
        <v>13</v>
      </c>
      <c r="K301" s="4">
        <v>2</v>
      </c>
      <c r="L301" s="4">
        <v>494</v>
      </c>
      <c r="M301" s="4">
        <v>37</v>
      </c>
      <c r="N301" s="4">
        <v>44.91</v>
      </c>
      <c r="O301" s="4">
        <v>164.49</v>
      </c>
      <c r="P301" s="4">
        <v>0</v>
      </c>
      <c r="Q301" s="4">
        <v>0</v>
      </c>
      <c r="R301" s="4">
        <v>67</v>
      </c>
      <c r="S301" s="4">
        <v>25</v>
      </c>
      <c r="T301" s="4">
        <v>0</v>
      </c>
      <c r="U301" s="4">
        <v>8</v>
      </c>
      <c r="V301" s="4">
        <v>24.43</v>
      </c>
      <c r="W301" s="4">
        <v>9.48</v>
      </c>
      <c r="X301" s="4">
        <v>16.11</v>
      </c>
      <c r="Y301" s="4" t="s">
        <v>599</v>
      </c>
      <c r="Z301" s="4">
        <v>0</v>
      </c>
      <c r="AA301" s="4">
        <v>49.1</v>
      </c>
      <c r="AB301" s="4">
        <v>11</v>
      </c>
      <c r="AC301" s="4">
        <v>0</v>
      </c>
      <c r="AD301" s="4" t="s">
        <v>38</v>
      </c>
      <c r="AE301" s="8" t="s">
        <v>486</v>
      </c>
      <c r="AF301" s="4" t="s">
        <v>381</v>
      </c>
      <c r="AG301" s="4" t="s">
        <v>502</v>
      </c>
      <c r="AH301" s="4">
        <v>0.4</v>
      </c>
    </row>
    <row r="302" spans="1:34" x14ac:dyDescent="0.3">
      <c r="A302" s="7" t="s">
        <v>1107</v>
      </c>
      <c r="B302" s="7" t="s">
        <v>1108</v>
      </c>
      <c r="C302" s="7" t="s">
        <v>142</v>
      </c>
      <c r="D302" s="7" t="s">
        <v>684</v>
      </c>
      <c r="E302" s="7" t="s">
        <v>559</v>
      </c>
      <c r="F302" s="7" t="s">
        <v>484</v>
      </c>
      <c r="G302" s="7" t="s">
        <v>491</v>
      </c>
      <c r="H302" s="7" t="s">
        <v>480</v>
      </c>
      <c r="I302" s="7">
        <v>13</v>
      </c>
      <c r="J302" s="7">
        <v>13</v>
      </c>
      <c r="K302" s="7">
        <v>1</v>
      </c>
      <c r="L302" s="7">
        <v>551</v>
      </c>
      <c r="M302" s="7">
        <v>44</v>
      </c>
      <c r="N302" s="7">
        <v>45.92</v>
      </c>
      <c r="O302" s="7">
        <v>170.77</v>
      </c>
      <c r="P302" s="7">
        <v>1</v>
      </c>
      <c r="Q302" s="7">
        <v>0</v>
      </c>
      <c r="R302" s="7">
        <v>49</v>
      </c>
      <c r="S302" s="7">
        <v>39</v>
      </c>
      <c r="T302" s="7">
        <v>1</v>
      </c>
      <c r="U302" s="7">
        <v>18</v>
      </c>
      <c r="V302" s="7">
        <v>20.23</v>
      </c>
      <c r="W302" s="7">
        <v>7.37</v>
      </c>
      <c r="X302" s="7">
        <v>10.32</v>
      </c>
      <c r="Y302" s="7" t="s">
        <v>560</v>
      </c>
      <c r="Z302" s="7">
        <v>0</v>
      </c>
      <c r="AA302" s="7">
        <v>35.1</v>
      </c>
      <c r="AB302" s="7">
        <v>8</v>
      </c>
      <c r="AC302" s="7">
        <v>0</v>
      </c>
      <c r="AD302" s="7" t="s">
        <v>28</v>
      </c>
      <c r="AE302" s="3" t="s">
        <v>475</v>
      </c>
      <c r="AF302" s="7" t="s">
        <v>264</v>
      </c>
      <c r="AG302" s="7" t="s">
        <v>476</v>
      </c>
      <c r="AH302" s="7">
        <v>3</v>
      </c>
    </row>
    <row r="303" spans="1:34" x14ac:dyDescent="0.3">
      <c r="A303" s="4" t="s">
        <v>1109</v>
      </c>
      <c r="B303" s="4" t="s">
        <v>1110</v>
      </c>
      <c r="C303" s="4" t="s">
        <v>28</v>
      </c>
      <c r="D303" s="4" t="s">
        <v>779</v>
      </c>
      <c r="E303" s="4" t="s">
        <v>489</v>
      </c>
      <c r="F303" s="4" t="s">
        <v>484</v>
      </c>
      <c r="G303" s="4" t="s">
        <v>472</v>
      </c>
      <c r="H303" s="4" t="s">
        <v>480</v>
      </c>
      <c r="I303" s="4">
        <v>14</v>
      </c>
      <c r="J303" s="4">
        <v>12</v>
      </c>
      <c r="K303" s="4">
        <v>0</v>
      </c>
      <c r="L303" s="4">
        <v>370</v>
      </c>
      <c r="M303" s="4">
        <v>116</v>
      </c>
      <c r="N303" s="4">
        <v>30.83</v>
      </c>
      <c r="O303" s="4">
        <v>176.54</v>
      </c>
      <c r="P303" s="4">
        <v>0</v>
      </c>
      <c r="Q303" s="4">
        <v>0</v>
      </c>
      <c r="R303" s="4">
        <v>36</v>
      </c>
      <c r="S303" s="4">
        <v>18</v>
      </c>
      <c r="T303" s="4">
        <v>1</v>
      </c>
      <c r="U303" s="4">
        <v>8</v>
      </c>
      <c r="V303" s="4">
        <v>21.7</v>
      </c>
      <c r="W303" s="4">
        <v>7.75</v>
      </c>
      <c r="X303" s="4">
        <v>14.72</v>
      </c>
      <c r="Y303" s="4" t="s">
        <v>616</v>
      </c>
      <c r="Z303" s="4">
        <v>0</v>
      </c>
      <c r="AA303" s="4">
        <v>43.8</v>
      </c>
      <c r="AB303" s="4">
        <v>2</v>
      </c>
      <c r="AC303" s="4">
        <v>0</v>
      </c>
      <c r="AD303" s="4" t="s">
        <v>28</v>
      </c>
      <c r="AE303" s="8" t="s">
        <v>486</v>
      </c>
      <c r="AF303" s="4" t="s">
        <v>134</v>
      </c>
      <c r="AG303" s="4" t="s">
        <v>476</v>
      </c>
      <c r="AH303" s="4">
        <v>4</v>
      </c>
    </row>
    <row r="304" spans="1:34" x14ac:dyDescent="0.3">
      <c r="A304" s="7" t="s">
        <v>1111</v>
      </c>
      <c r="B304" s="7" t="s">
        <v>1112</v>
      </c>
      <c r="C304" s="7" t="s">
        <v>81</v>
      </c>
      <c r="D304" s="7" t="s">
        <v>750</v>
      </c>
      <c r="E304" s="7" t="s">
        <v>479</v>
      </c>
      <c r="F304" s="7" t="s">
        <v>490</v>
      </c>
      <c r="G304" s="7" t="s">
        <v>472</v>
      </c>
      <c r="H304" s="7" t="s">
        <v>492</v>
      </c>
      <c r="I304" s="7">
        <v>8</v>
      </c>
      <c r="J304" s="7">
        <v>8</v>
      </c>
      <c r="K304" s="7">
        <v>3</v>
      </c>
      <c r="L304" s="7">
        <v>170</v>
      </c>
      <c r="M304" s="7">
        <v>56</v>
      </c>
      <c r="N304" s="7">
        <v>34</v>
      </c>
      <c r="O304" s="7">
        <v>174.15</v>
      </c>
      <c r="P304" s="7">
        <v>0</v>
      </c>
      <c r="Q304" s="7">
        <v>0</v>
      </c>
      <c r="R304" s="7">
        <v>20</v>
      </c>
      <c r="S304" s="7">
        <v>20</v>
      </c>
      <c r="T304" s="7">
        <v>0</v>
      </c>
      <c r="U304" s="7">
        <v>0</v>
      </c>
      <c r="V304" s="7" t="s">
        <v>493</v>
      </c>
      <c r="W304" s="7" t="s">
        <v>493</v>
      </c>
      <c r="X304" s="7" t="s">
        <v>493</v>
      </c>
      <c r="Y304" s="7" t="s">
        <v>493</v>
      </c>
      <c r="Z304" s="7">
        <v>0</v>
      </c>
      <c r="AA304" s="7">
        <v>0</v>
      </c>
      <c r="AB304" s="7">
        <v>8</v>
      </c>
      <c r="AC304" s="7">
        <v>0</v>
      </c>
      <c r="AD304" s="7" t="s">
        <v>20</v>
      </c>
      <c r="AE304" s="3" t="s">
        <v>475</v>
      </c>
      <c r="AF304" s="7" t="s">
        <v>15</v>
      </c>
      <c r="AG304" s="7" t="s">
        <v>476</v>
      </c>
      <c r="AH304" s="7">
        <v>6</v>
      </c>
    </row>
    <row r="305" spans="1:34" x14ac:dyDescent="0.3">
      <c r="A305" s="4" t="s">
        <v>1113</v>
      </c>
      <c r="B305" s="4" t="s">
        <v>1114</v>
      </c>
      <c r="C305" s="4" t="s">
        <v>47</v>
      </c>
      <c r="D305" s="4" t="s">
        <v>717</v>
      </c>
      <c r="E305" s="4" t="s">
        <v>589</v>
      </c>
      <c r="F305" s="4" t="s">
        <v>484</v>
      </c>
      <c r="G305" s="4" t="s">
        <v>472</v>
      </c>
      <c r="H305" s="4" t="s">
        <v>500</v>
      </c>
      <c r="I305" s="4">
        <v>12</v>
      </c>
      <c r="J305" s="4">
        <v>10</v>
      </c>
      <c r="K305" s="4">
        <v>3</v>
      </c>
      <c r="L305" s="4">
        <v>129</v>
      </c>
      <c r="M305" s="4">
        <v>81</v>
      </c>
      <c r="N305" s="4">
        <v>18.43</v>
      </c>
      <c r="O305" s="4">
        <v>125.06</v>
      </c>
      <c r="P305" s="4">
        <v>0</v>
      </c>
      <c r="Q305" s="4">
        <v>0</v>
      </c>
      <c r="R305" s="4">
        <v>13</v>
      </c>
      <c r="S305" s="4">
        <v>11</v>
      </c>
      <c r="T305" s="4">
        <v>0</v>
      </c>
      <c r="U305" s="4">
        <v>18</v>
      </c>
      <c r="V305" s="4">
        <v>16.510000000000002</v>
      </c>
      <c r="W305" s="4">
        <v>9.75</v>
      </c>
      <c r="X305" s="4">
        <v>16.43</v>
      </c>
      <c r="Y305" s="4" t="s">
        <v>765</v>
      </c>
      <c r="Z305" s="4">
        <v>0</v>
      </c>
      <c r="AA305" s="4">
        <v>32.200000000000003</v>
      </c>
      <c r="AB305" s="4">
        <v>10</v>
      </c>
      <c r="AC305" s="4">
        <v>0</v>
      </c>
      <c r="AD305" s="4" t="s">
        <v>142</v>
      </c>
      <c r="AE305" s="3" t="s">
        <v>475</v>
      </c>
      <c r="AF305" s="4" t="s">
        <v>139</v>
      </c>
      <c r="AG305" s="4" t="s">
        <v>476</v>
      </c>
      <c r="AH305" s="4">
        <v>5</v>
      </c>
    </row>
    <row r="306" spans="1:34" x14ac:dyDescent="0.3">
      <c r="A306" s="7" t="s">
        <v>1115</v>
      </c>
      <c r="B306" s="7" t="s">
        <v>1116</v>
      </c>
      <c r="C306" s="7" t="s">
        <v>19</v>
      </c>
      <c r="D306" s="7" t="s">
        <v>469</v>
      </c>
      <c r="E306" s="7" t="s">
        <v>483</v>
      </c>
      <c r="F306" s="7" t="s">
        <v>490</v>
      </c>
      <c r="G306" s="7" t="s">
        <v>472</v>
      </c>
      <c r="H306" s="7" t="s">
        <v>492</v>
      </c>
      <c r="I306" s="7">
        <v>9</v>
      </c>
      <c r="J306" s="7">
        <v>9</v>
      </c>
      <c r="K306" s="7">
        <v>1</v>
      </c>
      <c r="L306" s="7">
        <v>187</v>
      </c>
      <c r="M306" s="7">
        <v>109</v>
      </c>
      <c r="N306" s="7">
        <v>23.38</v>
      </c>
      <c r="O306" s="7">
        <v>162.22</v>
      </c>
      <c r="P306" s="7">
        <v>0</v>
      </c>
      <c r="Q306" s="7">
        <v>0</v>
      </c>
      <c r="R306" s="7">
        <v>20</v>
      </c>
      <c r="S306" s="7">
        <v>7</v>
      </c>
      <c r="T306" s="7">
        <v>0</v>
      </c>
      <c r="U306" s="7">
        <v>0</v>
      </c>
      <c r="V306" s="7" t="s">
        <v>493</v>
      </c>
      <c r="W306" s="7" t="s">
        <v>493</v>
      </c>
      <c r="X306" s="7" t="s">
        <v>493</v>
      </c>
      <c r="Y306" s="7" t="s">
        <v>493</v>
      </c>
      <c r="Z306" s="7">
        <v>0</v>
      </c>
      <c r="AA306" s="7">
        <v>0</v>
      </c>
      <c r="AB306" s="7">
        <v>9</v>
      </c>
      <c r="AC306" s="7">
        <v>0</v>
      </c>
      <c r="AD306" s="7" t="s">
        <v>37</v>
      </c>
      <c r="AE306" s="8" t="s">
        <v>486</v>
      </c>
      <c r="AF306" s="7" t="s">
        <v>34</v>
      </c>
      <c r="AG306" s="7" t="s">
        <v>476</v>
      </c>
      <c r="AH306" s="7">
        <v>7.5</v>
      </c>
    </row>
    <row r="307" spans="1:34" x14ac:dyDescent="0.3">
      <c r="A307" s="4" t="s">
        <v>1117</v>
      </c>
      <c r="B307" s="4" t="s">
        <v>1118</v>
      </c>
      <c r="C307" s="4" t="s">
        <v>55</v>
      </c>
      <c r="D307" s="4" t="s">
        <v>588</v>
      </c>
      <c r="E307" s="4" t="s">
        <v>543</v>
      </c>
      <c r="F307" s="4" t="s">
        <v>490</v>
      </c>
      <c r="G307" s="4" t="s">
        <v>491</v>
      </c>
      <c r="H307" s="4" t="s">
        <v>492</v>
      </c>
      <c r="I307" s="4">
        <v>9</v>
      </c>
      <c r="J307" s="4">
        <v>9</v>
      </c>
      <c r="K307" s="4">
        <v>3</v>
      </c>
      <c r="L307" s="4">
        <v>173</v>
      </c>
      <c r="M307" s="4">
        <v>99</v>
      </c>
      <c r="N307" s="4">
        <v>28.83</v>
      </c>
      <c r="O307" s="4">
        <v>126.79</v>
      </c>
      <c r="P307" s="4">
        <v>0</v>
      </c>
      <c r="Q307" s="4">
        <v>0</v>
      </c>
      <c r="R307" s="4">
        <v>22</v>
      </c>
      <c r="S307" s="4">
        <v>19</v>
      </c>
      <c r="T307" s="4">
        <v>0</v>
      </c>
      <c r="U307" s="4">
        <v>0</v>
      </c>
      <c r="V307" s="4" t="s">
        <v>493</v>
      </c>
      <c r="W307" s="4" t="s">
        <v>493</v>
      </c>
      <c r="X307" s="4" t="s">
        <v>493</v>
      </c>
      <c r="Y307" s="4" t="s">
        <v>493</v>
      </c>
      <c r="Z307" s="4">
        <v>0</v>
      </c>
      <c r="AA307" s="4">
        <v>0</v>
      </c>
      <c r="AB307" s="4">
        <v>3</v>
      </c>
      <c r="AC307" s="4">
        <v>0</v>
      </c>
      <c r="AD307" s="4" t="s">
        <v>20</v>
      </c>
      <c r="AE307" s="3" t="s">
        <v>475</v>
      </c>
      <c r="AF307" s="4" t="s">
        <v>269</v>
      </c>
      <c r="AG307" s="4" t="s">
        <v>476</v>
      </c>
      <c r="AH307" s="4">
        <v>7.5</v>
      </c>
    </row>
    <row r="308" spans="1:34" x14ac:dyDescent="0.3">
      <c r="A308" s="7" t="s">
        <v>1119</v>
      </c>
      <c r="B308" s="7" t="s">
        <v>1120</v>
      </c>
      <c r="C308" s="7" t="s">
        <v>19</v>
      </c>
      <c r="D308" s="7" t="s">
        <v>469</v>
      </c>
      <c r="E308" s="7" t="s">
        <v>483</v>
      </c>
      <c r="F308" s="7" t="s">
        <v>490</v>
      </c>
      <c r="G308" s="7" t="s">
        <v>472</v>
      </c>
      <c r="H308" s="7" t="s">
        <v>492</v>
      </c>
      <c r="I308" s="7">
        <v>13</v>
      </c>
      <c r="J308" s="7">
        <v>13</v>
      </c>
      <c r="K308" s="7">
        <v>2</v>
      </c>
      <c r="L308" s="7">
        <v>596</v>
      </c>
      <c r="M308" s="7">
        <v>59</v>
      </c>
      <c r="N308" s="7">
        <v>54.18</v>
      </c>
      <c r="O308" s="7">
        <v>126.16</v>
      </c>
      <c r="P308" s="7">
        <v>0</v>
      </c>
      <c r="Q308" s="7">
        <v>0</v>
      </c>
      <c r="R308" s="7">
        <v>56</v>
      </c>
      <c r="S308" s="7">
        <v>50</v>
      </c>
      <c r="T308" s="7">
        <v>0</v>
      </c>
      <c r="U308" s="7">
        <v>0</v>
      </c>
      <c r="V308" s="7" t="s">
        <v>493</v>
      </c>
      <c r="W308" s="7" t="s">
        <v>493</v>
      </c>
      <c r="X308" s="7" t="s">
        <v>493</v>
      </c>
      <c r="Y308" s="7" t="s">
        <v>493</v>
      </c>
      <c r="Z308" s="7">
        <v>0</v>
      </c>
      <c r="AA308" s="7">
        <v>0</v>
      </c>
      <c r="AB308" s="7">
        <v>9</v>
      </c>
      <c r="AC308" s="7">
        <v>0</v>
      </c>
      <c r="AD308" s="7" t="s">
        <v>37</v>
      </c>
      <c r="AE308" s="8" t="s">
        <v>486</v>
      </c>
      <c r="AF308" s="7" t="s">
        <v>303</v>
      </c>
      <c r="AG308" s="7" t="s">
        <v>476</v>
      </c>
      <c r="AH308" s="7">
        <v>3</v>
      </c>
    </row>
    <row r="309" spans="1:34" x14ac:dyDescent="0.3">
      <c r="A309" s="4" t="s">
        <v>1121</v>
      </c>
      <c r="B309" s="4" t="s">
        <v>1122</v>
      </c>
      <c r="C309" s="4" t="s">
        <v>81</v>
      </c>
      <c r="D309" s="4" t="s">
        <v>750</v>
      </c>
      <c r="E309" s="4" t="s">
        <v>543</v>
      </c>
      <c r="F309" s="4" t="s">
        <v>490</v>
      </c>
      <c r="G309" s="4" t="s">
        <v>491</v>
      </c>
      <c r="H309" s="4" t="s">
        <v>492</v>
      </c>
      <c r="I309" s="4">
        <v>11</v>
      </c>
      <c r="J309" s="4">
        <v>9</v>
      </c>
      <c r="K309" s="4">
        <v>0</v>
      </c>
      <c r="L309" s="4">
        <v>254</v>
      </c>
      <c r="M309" s="4">
        <v>100</v>
      </c>
      <c r="N309" s="4">
        <v>28.22</v>
      </c>
      <c r="O309" s="4">
        <v>148.43</v>
      </c>
      <c r="P309" s="4">
        <v>0</v>
      </c>
      <c r="Q309" s="4">
        <v>0</v>
      </c>
      <c r="R309" s="4">
        <v>26</v>
      </c>
      <c r="S309" s="4">
        <v>23</v>
      </c>
      <c r="T309" s="4">
        <v>0</v>
      </c>
      <c r="U309" s="4">
        <v>0</v>
      </c>
      <c r="V309" s="4" t="s">
        <v>493</v>
      </c>
      <c r="W309" s="4" t="s">
        <v>493</v>
      </c>
      <c r="X309" s="4" t="s">
        <v>493</v>
      </c>
      <c r="Y309" s="4" t="s">
        <v>493</v>
      </c>
      <c r="Z309" s="4">
        <v>0</v>
      </c>
      <c r="AA309" s="4">
        <v>0</v>
      </c>
      <c r="AB309" s="4">
        <v>9</v>
      </c>
      <c r="AC309" s="4">
        <v>0</v>
      </c>
      <c r="AD309" s="4" t="s">
        <v>142</v>
      </c>
      <c r="AE309" s="3" t="s">
        <v>475</v>
      </c>
      <c r="AF309" s="4" t="s">
        <v>229</v>
      </c>
      <c r="AG309" s="4" t="s">
        <v>476</v>
      </c>
      <c r="AH309" s="4">
        <v>5</v>
      </c>
    </row>
    <row r="310" spans="1:34" x14ac:dyDescent="0.3">
      <c r="A310" s="7" t="s">
        <v>1123</v>
      </c>
      <c r="B310" s="7" t="s">
        <v>1124</v>
      </c>
      <c r="C310" s="7" t="s">
        <v>142</v>
      </c>
      <c r="D310" s="7" t="s">
        <v>684</v>
      </c>
      <c r="E310" s="7" t="s">
        <v>483</v>
      </c>
      <c r="F310" s="7" t="s">
        <v>484</v>
      </c>
      <c r="G310" s="7" t="s">
        <v>491</v>
      </c>
      <c r="H310" s="7" t="s">
        <v>473</v>
      </c>
      <c r="I310" s="7">
        <v>8</v>
      </c>
      <c r="J310" s="7">
        <v>6</v>
      </c>
      <c r="K310" s="7">
        <v>2</v>
      </c>
      <c r="L310" s="7">
        <v>186</v>
      </c>
      <c r="M310" s="7">
        <v>37</v>
      </c>
      <c r="N310" s="7">
        <v>46.5</v>
      </c>
      <c r="O310" s="7">
        <v>132.41</v>
      </c>
      <c r="P310" s="7">
        <v>0</v>
      </c>
      <c r="Q310" s="7">
        <v>0</v>
      </c>
      <c r="R310" s="7">
        <v>19</v>
      </c>
      <c r="S310" s="7">
        <v>16</v>
      </c>
      <c r="T310" s="7">
        <v>0</v>
      </c>
      <c r="U310" s="7">
        <v>15</v>
      </c>
      <c r="V310" s="7">
        <v>21.6</v>
      </c>
      <c r="W310" s="7">
        <v>9.6</v>
      </c>
      <c r="X310" s="7">
        <v>10.41</v>
      </c>
      <c r="Y310" s="7" t="s">
        <v>753</v>
      </c>
      <c r="Z310" s="7">
        <v>0</v>
      </c>
      <c r="AA310" s="7">
        <v>29.5</v>
      </c>
      <c r="AB310" s="7">
        <v>4</v>
      </c>
      <c r="AC310" s="7">
        <v>0</v>
      </c>
      <c r="AD310" s="7" t="s">
        <v>20</v>
      </c>
      <c r="AE310" s="3" t="s">
        <v>475</v>
      </c>
      <c r="AF310" s="7" t="s">
        <v>269</v>
      </c>
      <c r="AG310" s="7" t="s">
        <v>476</v>
      </c>
      <c r="AH310" s="7">
        <v>0.4</v>
      </c>
    </row>
    <row r="311" spans="1:34" x14ac:dyDescent="0.3">
      <c r="A311" s="4" t="s">
        <v>1125</v>
      </c>
      <c r="B311" s="4" t="s">
        <v>1126</v>
      </c>
      <c r="C311" s="4" t="s">
        <v>20</v>
      </c>
      <c r="D311" s="4" t="s">
        <v>523</v>
      </c>
      <c r="E311" s="4" t="s">
        <v>483</v>
      </c>
      <c r="F311" s="4" t="s">
        <v>484</v>
      </c>
      <c r="G311" s="4" t="s">
        <v>472</v>
      </c>
      <c r="H311" s="4" t="s">
        <v>480</v>
      </c>
      <c r="I311" s="4">
        <v>14</v>
      </c>
      <c r="J311" s="4">
        <v>12</v>
      </c>
      <c r="K311" s="4">
        <v>0</v>
      </c>
      <c r="L311" s="4">
        <v>636</v>
      </c>
      <c r="M311" s="4">
        <v>88</v>
      </c>
      <c r="N311" s="4">
        <v>53</v>
      </c>
      <c r="O311" s="4">
        <v>183.11</v>
      </c>
      <c r="P311" s="4">
        <v>1</v>
      </c>
      <c r="Q311" s="4">
        <v>0</v>
      </c>
      <c r="R311" s="4">
        <v>54</v>
      </c>
      <c r="S311" s="4">
        <v>70</v>
      </c>
      <c r="T311" s="4">
        <v>1</v>
      </c>
      <c r="U311" s="4">
        <v>16</v>
      </c>
      <c r="V311" s="4">
        <v>22.19</v>
      </c>
      <c r="W311" s="4">
        <v>8.6999999999999993</v>
      </c>
      <c r="X311" s="4">
        <v>17.190000000000001</v>
      </c>
      <c r="Y311" s="4" t="s">
        <v>678</v>
      </c>
      <c r="Z311" s="4">
        <v>0</v>
      </c>
      <c r="AA311" s="4">
        <v>46.5</v>
      </c>
      <c r="AB311" s="4">
        <v>10</v>
      </c>
      <c r="AC311" s="4">
        <v>0</v>
      </c>
      <c r="AD311" s="4" t="s">
        <v>142</v>
      </c>
      <c r="AE311" s="3" t="s">
        <v>475</v>
      </c>
      <c r="AF311" s="4" t="s">
        <v>187</v>
      </c>
      <c r="AG311" s="4" t="s">
        <v>476</v>
      </c>
      <c r="AH311" s="4">
        <v>0.75</v>
      </c>
    </row>
    <row r="312" spans="1:34" x14ac:dyDescent="0.3">
      <c r="A312" s="7" t="s">
        <v>1127</v>
      </c>
      <c r="B312" s="7" t="s">
        <v>1128</v>
      </c>
      <c r="C312" s="7" t="s">
        <v>81</v>
      </c>
      <c r="D312" s="7" t="s">
        <v>750</v>
      </c>
      <c r="E312" s="7" t="s">
        <v>489</v>
      </c>
      <c r="F312" s="7" t="s">
        <v>471</v>
      </c>
      <c r="G312" s="7" t="s">
        <v>472</v>
      </c>
      <c r="H312" s="7" t="s">
        <v>500</v>
      </c>
      <c r="I312" s="7">
        <v>9</v>
      </c>
      <c r="J312" s="7">
        <v>7</v>
      </c>
      <c r="K312" s="7">
        <v>0</v>
      </c>
      <c r="L312" s="7">
        <v>210</v>
      </c>
      <c r="M312" s="7">
        <v>26</v>
      </c>
      <c r="N312" s="7">
        <v>30</v>
      </c>
      <c r="O312" s="7">
        <v>107.06</v>
      </c>
      <c r="P312" s="7">
        <v>0</v>
      </c>
      <c r="Q312" s="7">
        <v>0</v>
      </c>
      <c r="R312" s="7">
        <v>17</v>
      </c>
      <c r="S312" s="7">
        <v>10</v>
      </c>
      <c r="T312" s="7">
        <v>2</v>
      </c>
      <c r="U312" s="7">
        <v>20</v>
      </c>
      <c r="V312" s="7">
        <v>22.15</v>
      </c>
      <c r="W312" s="7">
        <v>7.7</v>
      </c>
      <c r="X312" s="7">
        <v>14.58</v>
      </c>
      <c r="Y312" s="7" t="s">
        <v>501</v>
      </c>
      <c r="Z312" s="7">
        <v>1</v>
      </c>
      <c r="AA312" s="7">
        <v>29.5</v>
      </c>
      <c r="AB312" s="7">
        <v>6</v>
      </c>
      <c r="AC312" s="7">
        <v>0</v>
      </c>
      <c r="AD312" s="7" t="s">
        <v>38</v>
      </c>
      <c r="AE312" s="8" t="s">
        <v>486</v>
      </c>
      <c r="AF312" s="7" t="s">
        <v>377</v>
      </c>
      <c r="AG312" s="7" t="s">
        <v>502</v>
      </c>
      <c r="AH312" s="7">
        <v>0.5</v>
      </c>
    </row>
    <row r="313" spans="1:34" x14ac:dyDescent="0.3">
      <c r="A313" s="4" t="s">
        <v>1129</v>
      </c>
      <c r="B313" s="4" t="s">
        <v>1130</v>
      </c>
      <c r="C313" s="4" t="s">
        <v>28</v>
      </c>
      <c r="D313" s="4" t="s">
        <v>779</v>
      </c>
      <c r="E313" s="4" t="s">
        <v>483</v>
      </c>
      <c r="F313" s="4" t="s">
        <v>484</v>
      </c>
      <c r="G313" s="4" t="s">
        <v>472</v>
      </c>
      <c r="H313" s="4" t="s">
        <v>516</v>
      </c>
      <c r="I313" s="4">
        <v>9</v>
      </c>
      <c r="J313" s="4">
        <v>7</v>
      </c>
      <c r="K313" s="4">
        <v>3</v>
      </c>
      <c r="L313" s="4">
        <v>167</v>
      </c>
      <c r="M313" s="4">
        <v>110</v>
      </c>
      <c r="N313" s="4">
        <v>41.75</v>
      </c>
      <c r="O313" s="4">
        <v>111.25</v>
      </c>
      <c r="P313" s="4">
        <v>0</v>
      </c>
      <c r="Q313" s="4">
        <v>0</v>
      </c>
      <c r="R313" s="4">
        <v>21</v>
      </c>
      <c r="S313" s="4">
        <v>6</v>
      </c>
      <c r="T313" s="4">
        <v>0</v>
      </c>
      <c r="U313" s="4">
        <v>8</v>
      </c>
      <c r="V313" s="4">
        <v>15.6</v>
      </c>
      <c r="W313" s="4">
        <v>9.41</v>
      </c>
      <c r="X313" s="4">
        <v>11.55</v>
      </c>
      <c r="Y313" s="4" t="s">
        <v>541</v>
      </c>
      <c r="Z313" s="4">
        <v>0</v>
      </c>
      <c r="AA313" s="4">
        <v>23.3</v>
      </c>
      <c r="AB313" s="4">
        <v>4</v>
      </c>
      <c r="AC313" s="4">
        <v>0</v>
      </c>
      <c r="AD313" s="4" t="s">
        <v>47</v>
      </c>
      <c r="AE313" s="3" t="s">
        <v>475</v>
      </c>
      <c r="AF313" s="4" t="s">
        <v>298</v>
      </c>
      <c r="AG313" s="4" t="s">
        <v>476</v>
      </c>
      <c r="AH313" s="4">
        <v>4</v>
      </c>
    </row>
    <row r="314" spans="1:34" x14ac:dyDescent="0.3">
      <c r="A314" s="7" t="s">
        <v>1131</v>
      </c>
      <c r="B314" s="7" t="s">
        <v>1132</v>
      </c>
      <c r="C314" s="7" t="s">
        <v>55</v>
      </c>
      <c r="D314" s="7" t="s">
        <v>588</v>
      </c>
      <c r="E314" s="7" t="s">
        <v>543</v>
      </c>
      <c r="F314" s="7" t="s">
        <v>484</v>
      </c>
      <c r="G314" s="7" t="s">
        <v>472</v>
      </c>
      <c r="H314" s="7" t="s">
        <v>500</v>
      </c>
      <c r="I314" s="7">
        <v>10</v>
      </c>
      <c r="J314" s="7">
        <v>10</v>
      </c>
      <c r="K314" s="7">
        <v>3</v>
      </c>
      <c r="L314" s="7">
        <v>325</v>
      </c>
      <c r="M314" s="7">
        <v>40</v>
      </c>
      <c r="N314" s="7">
        <v>46.43</v>
      </c>
      <c r="O314" s="7">
        <v>111.14</v>
      </c>
      <c r="P314" s="7">
        <v>0</v>
      </c>
      <c r="Q314" s="7">
        <v>0</v>
      </c>
      <c r="R314" s="7">
        <v>44</v>
      </c>
      <c r="S314" s="7">
        <v>22</v>
      </c>
      <c r="T314" s="7">
        <v>0</v>
      </c>
      <c r="U314" s="7">
        <v>16</v>
      </c>
      <c r="V314" s="7">
        <v>24.26</v>
      </c>
      <c r="W314" s="7">
        <v>9.39</v>
      </c>
      <c r="X314" s="7">
        <v>10.86</v>
      </c>
      <c r="Y314" s="7" t="s">
        <v>616</v>
      </c>
      <c r="Z314" s="7">
        <v>0</v>
      </c>
      <c r="AA314" s="7">
        <v>37.9</v>
      </c>
      <c r="AB314" s="7">
        <v>7</v>
      </c>
      <c r="AC314" s="7">
        <v>0</v>
      </c>
      <c r="AD314" s="7" t="s">
        <v>28</v>
      </c>
      <c r="AE314" s="8" t="s">
        <v>486</v>
      </c>
      <c r="AF314" s="7" t="s">
        <v>52</v>
      </c>
      <c r="AG314" s="7" t="s">
        <v>476</v>
      </c>
      <c r="AH314" s="7">
        <v>4</v>
      </c>
    </row>
    <row r="315" spans="1:34" x14ac:dyDescent="0.3">
      <c r="A315" s="4" t="s">
        <v>1133</v>
      </c>
      <c r="B315" s="4" t="s">
        <v>1134</v>
      </c>
      <c r="C315" s="4" t="s">
        <v>37</v>
      </c>
      <c r="D315" s="4" t="s">
        <v>555</v>
      </c>
      <c r="E315" s="4" t="s">
        <v>483</v>
      </c>
      <c r="F315" s="4" t="s">
        <v>471</v>
      </c>
      <c r="G315" s="4" t="s">
        <v>491</v>
      </c>
      <c r="H315" s="4" t="s">
        <v>514</v>
      </c>
      <c r="I315" s="4">
        <v>13</v>
      </c>
      <c r="J315" s="4">
        <v>12</v>
      </c>
      <c r="K315" s="4">
        <v>1</v>
      </c>
      <c r="L315" s="4">
        <v>100</v>
      </c>
      <c r="M315" s="4">
        <v>17</v>
      </c>
      <c r="N315" s="4">
        <v>9.09</v>
      </c>
      <c r="O315" s="4">
        <v>124.13</v>
      </c>
      <c r="P315" s="4">
        <v>0</v>
      </c>
      <c r="Q315" s="4">
        <v>0</v>
      </c>
      <c r="R315" s="4">
        <v>8</v>
      </c>
      <c r="S315" s="4">
        <v>5</v>
      </c>
      <c r="T315" s="4">
        <v>0</v>
      </c>
      <c r="U315" s="4">
        <v>31</v>
      </c>
      <c r="V315" s="4">
        <v>26.69</v>
      </c>
      <c r="W315" s="4">
        <v>7.88</v>
      </c>
      <c r="X315" s="4">
        <v>19.760000000000002</v>
      </c>
      <c r="Y315" s="4" t="s">
        <v>585</v>
      </c>
      <c r="Z315" s="4">
        <v>0</v>
      </c>
      <c r="AA315" s="4">
        <v>37.299999999999997</v>
      </c>
      <c r="AB315" s="4">
        <v>11</v>
      </c>
      <c r="AC315" s="4">
        <v>0</v>
      </c>
      <c r="AD315" s="4" t="s">
        <v>142</v>
      </c>
      <c r="AE315" s="3" t="s">
        <v>475</v>
      </c>
      <c r="AF315" s="4" t="s">
        <v>274</v>
      </c>
      <c r="AG315" s="4" t="s">
        <v>502</v>
      </c>
      <c r="AH315" s="4">
        <v>21</v>
      </c>
    </row>
    <row r="316" spans="1:34" x14ac:dyDescent="0.3">
      <c r="A316" s="7" t="s">
        <v>1135</v>
      </c>
      <c r="B316" s="7" t="s">
        <v>1136</v>
      </c>
      <c r="C316" s="7" t="s">
        <v>38</v>
      </c>
      <c r="D316" s="7" t="s">
        <v>654</v>
      </c>
      <c r="E316" s="7" t="s">
        <v>483</v>
      </c>
      <c r="F316" s="7" t="s">
        <v>484</v>
      </c>
      <c r="G316" s="7" t="s">
        <v>472</v>
      </c>
      <c r="H316" s="7" t="s">
        <v>516</v>
      </c>
      <c r="I316" s="7">
        <v>9</v>
      </c>
      <c r="J316" s="7">
        <v>7</v>
      </c>
      <c r="K316" s="7">
        <v>3</v>
      </c>
      <c r="L316" s="7">
        <v>167</v>
      </c>
      <c r="M316" s="7">
        <v>110</v>
      </c>
      <c r="N316" s="7">
        <v>41.75</v>
      </c>
      <c r="O316" s="7">
        <v>111.25</v>
      </c>
      <c r="P316" s="7">
        <v>0</v>
      </c>
      <c r="Q316" s="7">
        <v>0</v>
      </c>
      <c r="R316" s="7">
        <v>21</v>
      </c>
      <c r="S316" s="7">
        <v>6</v>
      </c>
      <c r="T316" s="7">
        <v>0</v>
      </c>
      <c r="U316" s="7">
        <v>8</v>
      </c>
      <c r="V316" s="7">
        <v>15.6</v>
      </c>
      <c r="W316" s="7">
        <v>9.41</v>
      </c>
      <c r="X316" s="7">
        <v>11.55</v>
      </c>
      <c r="Y316" s="7" t="s">
        <v>541</v>
      </c>
      <c r="Z316" s="7">
        <v>0</v>
      </c>
      <c r="AA316" s="7">
        <v>23.3</v>
      </c>
      <c r="AB316" s="7">
        <v>4</v>
      </c>
      <c r="AC316" s="7">
        <v>0</v>
      </c>
      <c r="AD316" s="7" t="s">
        <v>47</v>
      </c>
      <c r="AE316" s="3" t="s">
        <v>475</v>
      </c>
      <c r="AF316" s="7" t="s">
        <v>298</v>
      </c>
      <c r="AG316" s="7" t="s">
        <v>476</v>
      </c>
      <c r="AH316" s="7">
        <v>4</v>
      </c>
    </row>
    <row r="317" spans="1:34" x14ac:dyDescent="0.3">
      <c r="A317" s="4" t="s">
        <v>1137</v>
      </c>
      <c r="B317" s="4" t="s">
        <v>1138</v>
      </c>
      <c r="C317" s="4" t="s">
        <v>47</v>
      </c>
      <c r="D317" s="4" t="s">
        <v>717</v>
      </c>
      <c r="E317" s="4" t="s">
        <v>483</v>
      </c>
      <c r="F317" s="4" t="s">
        <v>471</v>
      </c>
      <c r="G317" s="4" t="s">
        <v>472</v>
      </c>
      <c r="H317" s="4" t="s">
        <v>514</v>
      </c>
      <c r="I317" s="4">
        <v>11</v>
      </c>
      <c r="J317" s="4">
        <v>11</v>
      </c>
      <c r="K317" s="4">
        <v>0</v>
      </c>
      <c r="L317" s="4">
        <v>36</v>
      </c>
      <c r="M317" s="4">
        <v>19</v>
      </c>
      <c r="N317" s="4">
        <v>3.27</v>
      </c>
      <c r="O317" s="4">
        <v>122.14</v>
      </c>
      <c r="P317" s="4">
        <v>0</v>
      </c>
      <c r="Q317" s="4">
        <v>0</v>
      </c>
      <c r="R317" s="4">
        <v>3</v>
      </c>
      <c r="S317" s="4">
        <v>1</v>
      </c>
      <c r="T317" s="4">
        <v>0</v>
      </c>
      <c r="U317" s="4">
        <v>0</v>
      </c>
      <c r="V317" s="4">
        <v>24.33</v>
      </c>
      <c r="W317" s="4">
        <v>7.9</v>
      </c>
      <c r="X317" s="4">
        <v>17.16</v>
      </c>
      <c r="Y317" s="4" t="s">
        <v>701</v>
      </c>
      <c r="Z317" s="4">
        <v>0</v>
      </c>
      <c r="AA317" s="4">
        <v>40.9</v>
      </c>
      <c r="AB317" s="4">
        <v>2</v>
      </c>
      <c r="AC317" s="4">
        <v>0</v>
      </c>
      <c r="AD317" s="4" t="s">
        <v>46</v>
      </c>
      <c r="AE317" s="3" t="s">
        <v>475</v>
      </c>
      <c r="AF317" s="4" t="s">
        <v>279</v>
      </c>
      <c r="AG317" s="4" t="s">
        <v>476</v>
      </c>
      <c r="AH317" s="4">
        <v>21</v>
      </c>
    </row>
    <row r="318" spans="1:34" x14ac:dyDescent="0.3">
      <c r="A318" s="7" t="s">
        <v>1139</v>
      </c>
      <c r="B318" s="7" t="s">
        <v>1140</v>
      </c>
      <c r="C318" s="7" t="s">
        <v>28</v>
      </c>
      <c r="D318" s="7" t="s">
        <v>779</v>
      </c>
      <c r="E318" s="7" t="s">
        <v>559</v>
      </c>
      <c r="F318" s="7" t="s">
        <v>484</v>
      </c>
      <c r="G318" s="7" t="s">
        <v>491</v>
      </c>
      <c r="H318" s="7" t="s">
        <v>480</v>
      </c>
      <c r="I318" s="7">
        <v>13</v>
      </c>
      <c r="J318" s="7">
        <v>13</v>
      </c>
      <c r="K318" s="7">
        <v>1</v>
      </c>
      <c r="L318" s="7">
        <v>551</v>
      </c>
      <c r="M318" s="7">
        <v>44</v>
      </c>
      <c r="N318" s="7">
        <v>45.92</v>
      </c>
      <c r="O318" s="7">
        <v>170.77</v>
      </c>
      <c r="P318" s="7">
        <v>1</v>
      </c>
      <c r="Q318" s="7">
        <v>0</v>
      </c>
      <c r="R318" s="7">
        <v>49</v>
      </c>
      <c r="S318" s="7">
        <v>39</v>
      </c>
      <c r="T318" s="7">
        <v>1</v>
      </c>
      <c r="U318" s="7">
        <v>18</v>
      </c>
      <c r="V318" s="7">
        <v>20.23</v>
      </c>
      <c r="W318" s="7">
        <v>7.37</v>
      </c>
      <c r="X318" s="7">
        <v>10.32</v>
      </c>
      <c r="Y318" s="7" t="s">
        <v>560</v>
      </c>
      <c r="Z318" s="7">
        <v>0</v>
      </c>
      <c r="AA318" s="7">
        <v>35.1</v>
      </c>
      <c r="AB318" s="7">
        <v>8</v>
      </c>
      <c r="AC318" s="7">
        <v>0</v>
      </c>
      <c r="AD318" s="7" t="s">
        <v>28</v>
      </c>
      <c r="AE318" s="3" t="s">
        <v>475</v>
      </c>
      <c r="AF318" s="7" t="s">
        <v>264</v>
      </c>
      <c r="AG318" s="7" t="s">
        <v>476</v>
      </c>
      <c r="AH318" s="7">
        <v>3</v>
      </c>
    </row>
    <row r="319" spans="1:34" x14ac:dyDescent="0.3">
      <c r="A319" s="4" t="s">
        <v>1141</v>
      </c>
      <c r="B319" s="4" t="s">
        <v>1142</v>
      </c>
      <c r="C319" s="4" t="s">
        <v>46</v>
      </c>
      <c r="D319" s="4" t="s">
        <v>622</v>
      </c>
      <c r="E319" s="4" t="s">
        <v>543</v>
      </c>
      <c r="F319" s="4" t="s">
        <v>484</v>
      </c>
      <c r="G319" s="4" t="s">
        <v>472</v>
      </c>
      <c r="H319" s="4" t="s">
        <v>500</v>
      </c>
      <c r="I319" s="4">
        <v>10</v>
      </c>
      <c r="J319" s="4">
        <v>10</v>
      </c>
      <c r="K319" s="4">
        <v>3</v>
      </c>
      <c r="L319" s="4">
        <v>325</v>
      </c>
      <c r="M319" s="4">
        <v>40</v>
      </c>
      <c r="N319" s="4">
        <v>46.43</v>
      </c>
      <c r="O319" s="4">
        <v>111.14</v>
      </c>
      <c r="P319" s="4">
        <v>0</v>
      </c>
      <c r="Q319" s="4">
        <v>0</v>
      </c>
      <c r="R319" s="4">
        <v>44</v>
      </c>
      <c r="S319" s="4">
        <v>22</v>
      </c>
      <c r="T319" s="4">
        <v>0</v>
      </c>
      <c r="U319" s="4">
        <v>16</v>
      </c>
      <c r="V319" s="4">
        <v>24.26</v>
      </c>
      <c r="W319" s="4">
        <v>9.39</v>
      </c>
      <c r="X319" s="4">
        <v>10.86</v>
      </c>
      <c r="Y319" s="4" t="s">
        <v>616</v>
      </c>
      <c r="Z319" s="4">
        <v>0</v>
      </c>
      <c r="AA319" s="4">
        <v>37.9</v>
      </c>
      <c r="AB319" s="4">
        <v>7</v>
      </c>
      <c r="AC319" s="4">
        <v>0</v>
      </c>
      <c r="AD319" s="4" t="s">
        <v>28</v>
      </c>
      <c r="AE319" s="8" t="s">
        <v>486</v>
      </c>
      <c r="AF319" s="4" t="s">
        <v>52</v>
      </c>
      <c r="AG319" s="4" t="s">
        <v>476</v>
      </c>
      <c r="AH319" s="4">
        <v>4</v>
      </c>
    </row>
    <row r="320" spans="1:34" x14ac:dyDescent="0.3">
      <c r="A320" s="7" t="s">
        <v>1143</v>
      </c>
      <c r="B320" s="7" t="s">
        <v>1144</v>
      </c>
      <c r="C320" s="7" t="s">
        <v>20</v>
      </c>
      <c r="D320" s="7" t="s">
        <v>523</v>
      </c>
      <c r="E320" s="7" t="s">
        <v>483</v>
      </c>
      <c r="F320" s="7" t="s">
        <v>471</v>
      </c>
      <c r="G320" s="7" t="s">
        <v>472</v>
      </c>
      <c r="H320" s="7" t="s">
        <v>514</v>
      </c>
      <c r="I320" s="7">
        <v>11</v>
      </c>
      <c r="J320" s="7">
        <v>11</v>
      </c>
      <c r="K320" s="7">
        <v>0</v>
      </c>
      <c r="L320" s="7">
        <v>36</v>
      </c>
      <c r="M320" s="7">
        <v>19</v>
      </c>
      <c r="N320" s="7">
        <v>3.27</v>
      </c>
      <c r="O320" s="7">
        <v>122.14</v>
      </c>
      <c r="P320" s="7">
        <v>0</v>
      </c>
      <c r="Q320" s="7">
        <v>0</v>
      </c>
      <c r="R320" s="7">
        <v>3</v>
      </c>
      <c r="S320" s="7">
        <v>1</v>
      </c>
      <c r="T320" s="7">
        <v>0</v>
      </c>
      <c r="U320" s="7">
        <v>0</v>
      </c>
      <c r="V320" s="7">
        <v>24.33</v>
      </c>
      <c r="W320" s="7">
        <v>7.9</v>
      </c>
      <c r="X320" s="7">
        <v>17.16</v>
      </c>
      <c r="Y320" s="7" t="s">
        <v>701</v>
      </c>
      <c r="Z320" s="7">
        <v>0</v>
      </c>
      <c r="AA320" s="7">
        <v>40.9</v>
      </c>
      <c r="AB320" s="7">
        <v>2</v>
      </c>
      <c r="AC320" s="7">
        <v>0</v>
      </c>
      <c r="AD320" s="7" t="s">
        <v>46</v>
      </c>
      <c r="AE320" s="3" t="s">
        <v>475</v>
      </c>
      <c r="AF320" s="7" t="s">
        <v>279</v>
      </c>
      <c r="AG320" s="7" t="s">
        <v>476</v>
      </c>
      <c r="AH320" s="7">
        <v>21</v>
      </c>
    </row>
    <row r="321" spans="1:34" x14ac:dyDescent="0.3">
      <c r="A321" s="4" t="s">
        <v>1145</v>
      </c>
      <c r="B321" s="4" t="s">
        <v>1146</v>
      </c>
      <c r="C321" s="4" t="s">
        <v>38</v>
      </c>
      <c r="D321" s="4" t="s">
        <v>654</v>
      </c>
      <c r="E321" s="4" t="s">
        <v>479</v>
      </c>
      <c r="F321" s="4" t="s">
        <v>484</v>
      </c>
      <c r="G321" s="4" t="s">
        <v>491</v>
      </c>
      <c r="H321" s="4" t="s">
        <v>473</v>
      </c>
      <c r="I321" s="4">
        <v>9</v>
      </c>
      <c r="J321" s="4">
        <v>7</v>
      </c>
      <c r="K321" s="4">
        <v>1</v>
      </c>
      <c r="L321" s="4">
        <v>124</v>
      </c>
      <c r="M321" s="4">
        <v>76</v>
      </c>
      <c r="N321" s="4">
        <v>20.67</v>
      </c>
      <c r="O321" s="4">
        <v>122.36</v>
      </c>
      <c r="P321" s="4">
        <v>0</v>
      </c>
      <c r="Q321" s="4">
        <v>0</v>
      </c>
      <c r="R321" s="4">
        <v>12</v>
      </c>
      <c r="S321" s="4">
        <v>7</v>
      </c>
      <c r="T321" s="4">
        <v>0</v>
      </c>
      <c r="U321" s="4">
        <v>10</v>
      </c>
      <c r="V321" s="4">
        <v>17.79</v>
      </c>
      <c r="W321" s="4">
        <v>8.09</v>
      </c>
      <c r="X321" s="4">
        <v>15.26</v>
      </c>
      <c r="Y321" s="4" t="s">
        <v>527</v>
      </c>
      <c r="Z321" s="4">
        <v>0</v>
      </c>
      <c r="AA321" s="4">
        <v>26.9</v>
      </c>
      <c r="AB321" s="4">
        <v>2</v>
      </c>
      <c r="AC321" s="4">
        <v>0</v>
      </c>
      <c r="AD321" s="4" t="s">
        <v>38</v>
      </c>
      <c r="AE321" s="8" t="s">
        <v>486</v>
      </c>
      <c r="AF321" s="4" t="s">
        <v>406</v>
      </c>
      <c r="AG321" s="4" t="s">
        <v>476</v>
      </c>
      <c r="AH321" s="4">
        <v>6</v>
      </c>
    </row>
    <row r="322" spans="1:34" x14ac:dyDescent="0.3">
      <c r="A322" s="7" t="s">
        <v>1147</v>
      </c>
      <c r="B322" s="7" t="s">
        <v>1148</v>
      </c>
      <c r="C322" s="7" t="s">
        <v>28</v>
      </c>
      <c r="D322" s="7" t="s">
        <v>779</v>
      </c>
      <c r="E322" s="7" t="s">
        <v>559</v>
      </c>
      <c r="F322" s="7" t="s">
        <v>490</v>
      </c>
      <c r="G322" s="7" t="s">
        <v>472</v>
      </c>
      <c r="H322" s="7" t="s">
        <v>492</v>
      </c>
      <c r="I322" s="7">
        <v>12</v>
      </c>
      <c r="J322" s="7">
        <v>10</v>
      </c>
      <c r="K322" s="7">
        <v>3</v>
      </c>
      <c r="L322" s="7">
        <v>324</v>
      </c>
      <c r="M322" s="7">
        <v>69</v>
      </c>
      <c r="N322" s="7">
        <v>46.29</v>
      </c>
      <c r="O322" s="7">
        <v>154.68</v>
      </c>
      <c r="P322" s="7">
        <v>0</v>
      </c>
      <c r="Q322" s="7">
        <v>0</v>
      </c>
      <c r="R322" s="7">
        <v>39</v>
      </c>
      <c r="S322" s="7">
        <v>38</v>
      </c>
      <c r="T322" s="7">
        <v>0</v>
      </c>
      <c r="U322" s="7">
        <v>0</v>
      </c>
      <c r="V322" s="7" t="s">
        <v>493</v>
      </c>
      <c r="W322" s="7" t="s">
        <v>493</v>
      </c>
      <c r="X322" s="7" t="s">
        <v>493</v>
      </c>
      <c r="Y322" s="7" t="s">
        <v>493</v>
      </c>
      <c r="Z322" s="7">
        <v>0</v>
      </c>
      <c r="AA322" s="7">
        <v>0</v>
      </c>
      <c r="AB322" s="7">
        <v>4</v>
      </c>
      <c r="AC322" s="7">
        <v>0</v>
      </c>
      <c r="AD322" s="7" t="s">
        <v>46</v>
      </c>
      <c r="AE322" s="8" t="s">
        <v>486</v>
      </c>
      <c r="AF322" s="7" t="s">
        <v>363</v>
      </c>
      <c r="AG322" s="7" t="s">
        <v>476</v>
      </c>
      <c r="AH322" s="7">
        <v>1.5</v>
      </c>
    </row>
    <row r="323" spans="1:34" x14ac:dyDescent="0.3">
      <c r="A323" s="4" t="s">
        <v>1149</v>
      </c>
      <c r="B323" s="4" t="s">
        <v>1150</v>
      </c>
      <c r="C323" s="4" t="s">
        <v>37</v>
      </c>
      <c r="D323" s="4" t="s">
        <v>555</v>
      </c>
      <c r="E323" s="4" t="s">
        <v>483</v>
      </c>
      <c r="F323" s="4" t="s">
        <v>490</v>
      </c>
      <c r="G323" s="4" t="s">
        <v>472</v>
      </c>
      <c r="H323" s="4" t="s">
        <v>492</v>
      </c>
      <c r="I323" s="4">
        <v>11</v>
      </c>
      <c r="J323" s="4">
        <v>11</v>
      </c>
      <c r="K323" s="4">
        <v>3</v>
      </c>
      <c r="L323" s="4">
        <v>341</v>
      </c>
      <c r="M323" s="4">
        <v>30</v>
      </c>
      <c r="N323" s="4">
        <v>42.62</v>
      </c>
      <c r="O323" s="4">
        <v>139.97999999999999</v>
      </c>
      <c r="P323" s="4">
        <v>0</v>
      </c>
      <c r="Q323" s="4">
        <v>0</v>
      </c>
      <c r="R323" s="4">
        <v>39</v>
      </c>
      <c r="S323" s="4">
        <v>40</v>
      </c>
      <c r="T323" s="4">
        <v>0</v>
      </c>
      <c r="U323" s="4">
        <v>0</v>
      </c>
      <c r="V323" s="4" t="s">
        <v>493</v>
      </c>
      <c r="W323" s="4" t="s">
        <v>493</v>
      </c>
      <c r="X323" s="4" t="s">
        <v>493</v>
      </c>
      <c r="Y323" s="4" t="s">
        <v>493</v>
      </c>
      <c r="Z323" s="4">
        <v>0</v>
      </c>
      <c r="AA323" s="4">
        <v>0</v>
      </c>
      <c r="AB323" s="4">
        <v>8</v>
      </c>
      <c r="AC323" s="4">
        <v>0</v>
      </c>
      <c r="AD323" s="4" t="s">
        <v>38</v>
      </c>
      <c r="AE323" s="3" t="s">
        <v>475</v>
      </c>
      <c r="AF323" s="4" t="s">
        <v>34</v>
      </c>
      <c r="AG323" s="4" t="s">
        <v>476</v>
      </c>
      <c r="AH323" s="4">
        <v>0.2</v>
      </c>
    </row>
    <row r="324" spans="1:34" x14ac:dyDescent="0.3">
      <c r="A324" s="7" t="s">
        <v>1151</v>
      </c>
      <c r="B324" s="7" t="s">
        <v>1152</v>
      </c>
      <c r="C324" s="7" t="s">
        <v>38</v>
      </c>
      <c r="D324" s="7" t="s">
        <v>654</v>
      </c>
      <c r="E324" s="7" t="s">
        <v>543</v>
      </c>
      <c r="F324" s="7" t="s">
        <v>490</v>
      </c>
      <c r="G324" s="7" t="s">
        <v>491</v>
      </c>
      <c r="H324" s="7" t="s">
        <v>492</v>
      </c>
      <c r="I324" s="7">
        <v>9</v>
      </c>
      <c r="J324" s="7">
        <v>9</v>
      </c>
      <c r="K324" s="7">
        <v>3</v>
      </c>
      <c r="L324" s="7">
        <v>173</v>
      </c>
      <c r="M324" s="7">
        <v>99</v>
      </c>
      <c r="N324" s="7">
        <v>28.83</v>
      </c>
      <c r="O324" s="7">
        <v>126.79</v>
      </c>
      <c r="P324" s="7">
        <v>0</v>
      </c>
      <c r="Q324" s="7">
        <v>0</v>
      </c>
      <c r="R324" s="7">
        <v>22</v>
      </c>
      <c r="S324" s="7">
        <v>19</v>
      </c>
      <c r="T324" s="7">
        <v>0</v>
      </c>
      <c r="U324" s="7">
        <v>0</v>
      </c>
      <c r="V324" s="7" t="s">
        <v>493</v>
      </c>
      <c r="W324" s="7" t="s">
        <v>493</v>
      </c>
      <c r="X324" s="7" t="s">
        <v>493</v>
      </c>
      <c r="Y324" s="7" t="s">
        <v>493</v>
      </c>
      <c r="Z324" s="7">
        <v>0</v>
      </c>
      <c r="AA324" s="7">
        <v>0</v>
      </c>
      <c r="AB324" s="7">
        <v>3</v>
      </c>
      <c r="AC324" s="7">
        <v>0</v>
      </c>
      <c r="AD324" s="7" t="s">
        <v>20</v>
      </c>
      <c r="AE324" s="3" t="s">
        <v>475</v>
      </c>
      <c r="AF324" s="7" t="s">
        <v>269</v>
      </c>
      <c r="AG324" s="7" t="s">
        <v>476</v>
      </c>
      <c r="AH324" s="7">
        <v>7.5</v>
      </c>
    </row>
    <row r="325" spans="1:34" x14ac:dyDescent="0.3">
      <c r="A325" s="4" t="s">
        <v>1153</v>
      </c>
      <c r="B325" s="4" t="s">
        <v>1154</v>
      </c>
      <c r="C325" s="4" t="s">
        <v>142</v>
      </c>
      <c r="D325" s="4" t="s">
        <v>684</v>
      </c>
      <c r="E325" s="4" t="s">
        <v>470</v>
      </c>
      <c r="F325" s="4" t="s">
        <v>490</v>
      </c>
      <c r="G325" s="4" t="s">
        <v>472</v>
      </c>
      <c r="H325" s="4" t="s">
        <v>492</v>
      </c>
      <c r="I325" s="4">
        <v>12</v>
      </c>
      <c r="J325" s="4">
        <v>10</v>
      </c>
      <c r="K325" s="4">
        <v>3</v>
      </c>
      <c r="L325" s="4">
        <v>161</v>
      </c>
      <c r="M325" s="4">
        <v>30</v>
      </c>
      <c r="N325" s="4">
        <v>23</v>
      </c>
      <c r="O325" s="4">
        <v>118.74</v>
      </c>
      <c r="P325" s="4">
        <v>0</v>
      </c>
      <c r="Q325" s="4">
        <v>0</v>
      </c>
      <c r="R325" s="4">
        <v>14</v>
      </c>
      <c r="S325" s="4">
        <v>14</v>
      </c>
      <c r="T325" s="4">
        <v>0</v>
      </c>
      <c r="U325" s="4">
        <v>0</v>
      </c>
      <c r="V325" s="4" t="s">
        <v>493</v>
      </c>
      <c r="W325" s="4" t="s">
        <v>493</v>
      </c>
      <c r="X325" s="4" t="s">
        <v>493</v>
      </c>
      <c r="Y325" s="4" t="s">
        <v>493</v>
      </c>
      <c r="Z325" s="4">
        <v>0</v>
      </c>
      <c r="AA325" s="4">
        <v>0</v>
      </c>
      <c r="AB325" s="4">
        <v>2</v>
      </c>
      <c r="AC325" s="4">
        <v>0</v>
      </c>
      <c r="AD325" s="4" t="s">
        <v>55</v>
      </c>
      <c r="AE325" s="3" t="s">
        <v>475</v>
      </c>
      <c r="AF325" s="4" t="s">
        <v>401</v>
      </c>
      <c r="AG325" s="4" t="s">
        <v>476</v>
      </c>
      <c r="AH325" s="4">
        <v>4</v>
      </c>
    </row>
    <row r="326" spans="1:34" x14ac:dyDescent="0.3">
      <c r="A326" s="7" t="s">
        <v>1155</v>
      </c>
      <c r="B326" s="7" t="s">
        <v>1156</v>
      </c>
      <c r="C326" s="7" t="s">
        <v>81</v>
      </c>
      <c r="D326" s="7" t="s">
        <v>750</v>
      </c>
      <c r="E326" s="7" t="s">
        <v>483</v>
      </c>
      <c r="F326" s="7" t="s">
        <v>490</v>
      </c>
      <c r="G326" s="7" t="s">
        <v>491</v>
      </c>
      <c r="H326" s="7" t="s">
        <v>492</v>
      </c>
      <c r="I326" s="7">
        <v>13</v>
      </c>
      <c r="J326" s="7">
        <v>11</v>
      </c>
      <c r="K326" s="7">
        <v>3</v>
      </c>
      <c r="L326" s="7">
        <v>405</v>
      </c>
      <c r="M326" s="7">
        <v>118</v>
      </c>
      <c r="N326" s="7">
        <v>50.62</v>
      </c>
      <c r="O326" s="7">
        <v>174.41</v>
      </c>
      <c r="P326" s="7">
        <v>0</v>
      </c>
      <c r="Q326" s="7">
        <v>0</v>
      </c>
      <c r="R326" s="7">
        <v>36</v>
      </c>
      <c r="S326" s="7">
        <v>28</v>
      </c>
      <c r="T326" s="7">
        <v>1</v>
      </c>
      <c r="U326" s="7">
        <v>0</v>
      </c>
      <c r="V326" s="7" t="s">
        <v>493</v>
      </c>
      <c r="W326" s="7" t="s">
        <v>493</v>
      </c>
      <c r="X326" s="7" t="s">
        <v>493</v>
      </c>
      <c r="Y326" s="7" t="s">
        <v>493</v>
      </c>
      <c r="Z326" s="7">
        <v>0</v>
      </c>
      <c r="AA326" s="7">
        <v>0</v>
      </c>
      <c r="AB326" s="7">
        <v>8</v>
      </c>
      <c r="AC326" s="7">
        <v>0</v>
      </c>
      <c r="AD326" s="7" t="s">
        <v>28</v>
      </c>
      <c r="AE326" s="8" t="s">
        <v>486</v>
      </c>
      <c r="AF326" s="7" t="s">
        <v>52</v>
      </c>
      <c r="AG326" s="7" t="s">
        <v>476</v>
      </c>
      <c r="AH326" s="7">
        <v>15</v>
      </c>
    </row>
    <row r="327" spans="1:34" x14ac:dyDescent="0.3">
      <c r="A327" s="4" t="s">
        <v>1157</v>
      </c>
      <c r="B327" s="4" t="s">
        <v>1158</v>
      </c>
      <c r="C327" s="4" t="s">
        <v>142</v>
      </c>
      <c r="D327" s="4" t="s">
        <v>684</v>
      </c>
      <c r="E327" s="4" t="s">
        <v>489</v>
      </c>
      <c r="F327" s="4" t="s">
        <v>484</v>
      </c>
      <c r="G327" s="4" t="s">
        <v>472</v>
      </c>
      <c r="H327" s="4" t="s">
        <v>556</v>
      </c>
      <c r="I327" s="4">
        <v>14</v>
      </c>
      <c r="J327" s="4">
        <v>13</v>
      </c>
      <c r="K327" s="4">
        <v>3</v>
      </c>
      <c r="L327" s="4">
        <v>420</v>
      </c>
      <c r="M327" s="4">
        <v>103</v>
      </c>
      <c r="N327" s="4">
        <v>42</v>
      </c>
      <c r="O327" s="4">
        <v>156.47999999999999</v>
      </c>
      <c r="P327" s="4">
        <v>0</v>
      </c>
      <c r="Q327" s="4">
        <v>0</v>
      </c>
      <c r="R327" s="4">
        <v>33</v>
      </c>
      <c r="S327" s="4">
        <v>18</v>
      </c>
      <c r="T327" s="4">
        <v>0</v>
      </c>
      <c r="U327" s="4">
        <v>18</v>
      </c>
      <c r="V327" s="4">
        <v>21.83</v>
      </c>
      <c r="W327" s="4">
        <v>6.68</v>
      </c>
      <c r="X327" s="4">
        <v>17.52</v>
      </c>
      <c r="Y327" s="4" t="s">
        <v>790</v>
      </c>
      <c r="Z327" s="4">
        <v>0</v>
      </c>
      <c r="AA327" s="4">
        <v>48.5</v>
      </c>
      <c r="AB327" s="4">
        <v>6</v>
      </c>
      <c r="AC327" s="4">
        <v>0</v>
      </c>
      <c r="AD327" s="4" t="s">
        <v>37</v>
      </c>
      <c r="AE327" s="3" t="s">
        <v>475</v>
      </c>
      <c r="AF327" s="4" t="s">
        <v>357</v>
      </c>
      <c r="AG327" s="4" t="s">
        <v>476</v>
      </c>
      <c r="AH327" s="4">
        <v>0.4</v>
      </c>
    </row>
    <row r="328" spans="1:34" x14ac:dyDescent="0.3">
      <c r="A328" s="7" t="s">
        <v>1159</v>
      </c>
      <c r="B328" s="7" t="s">
        <v>1160</v>
      </c>
      <c r="C328" s="7" t="s">
        <v>46</v>
      </c>
      <c r="D328" s="7" t="s">
        <v>622</v>
      </c>
      <c r="E328" s="7" t="s">
        <v>483</v>
      </c>
      <c r="F328" s="7" t="s">
        <v>484</v>
      </c>
      <c r="G328" s="7" t="s">
        <v>491</v>
      </c>
      <c r="H328" s="7" t="s">
        <v>473</v>
      </c>
      <c r="I328" s="7">
        <v>8</v>
      </c>
      <c r="J328" s="7">
        <v>6</v>
      </c>
      <c r="K328" s="7">
        <v>2</v>
      </c>
      <c r="L328" s="7">
        <v>186</v>
      </c>
      <c r="M328" s="7">
        <v>37</v>
      </c>
      <c r="N328" s="7">
        <v>46.5</v>
      </c>
      <c r="O328" s="7">
        <v>132.41</v>
      </c>
      <c r="P328" s="7">
        <v>0</v>
      </c>
      <c r="Q328" s="7">
        <v>0</v>
      </c>
      <c r="R328" s="7">
        <v>19</v>
      </c>
      <c r="S328" s="7">
        <v>16</v>
      </c>
      <c r="T328" s="7">
        <v>0</v>
      </c>
      <c r="U328" s="7">
        <v>15</v>
      </c>
      <c r="V328" s="7">
        <v>21.6</v>
      </c>
      <c r="W328" s="7">
        <v>9.6</v>
      </c>
      <c r="X328" s="7">
        <v>10.41</v>
      </c>
      <c r="Y328" s="7" t="s">
        <v>753</v>
      </c>
      <c r="Z328" s="7">
        <v>0</v>
      </c>
      <c r="AA328" s="7">
        <v>29.5</v>
      </c>
      <c r="AB328" s="7">
        <v>4</v>
      </c>
      <c r="AC328" s="7">
        <v>0</v>
      </c>
      <c r="AD328" s="7" t="s">
        <v>20</v>
      </c>
      <c r="AE328" s="3" t="s">
        <v>475</v>
      </c>
      <c r="AF328" s="7" t="s">
        <v>269</v>
      </c>
      <c r="AG328" s="7" t="s">
        <v>476</v>
      </c>
      <c r="AH328" s="7">
        <v>0.4</v>
      </c>
    </row>
    <row r="329" spans="1:34" x14ac:dyDescent="0.3">
      <c r="A329" s="4" t="s">
        <v>1161</v>
      </c>
      <c r="B329" s="4" t="s">
        <v>1162</v>
      </c>
      <c r="C329" s="4" t="s">
        <v>55</v>
      </c>
      <c r="D329" s="4" t="s">
        <v>588</v>
      </c>
      <c r="E329" s="4" t="s">
        <v>536</v>
      </c>
      <c r="F329" s="4" t="s">
        <v>471</v>
      </c>
      <c r="G329" s="4" t="s">
        <v>472</v>
      </c>
      <c r="H329" s="4" t="s">
        <v>480</v>
      </c>
      <c r="I329" s="4">
        <v>9</v>
      </c>
      <c r="J329" s="4">
        <v>9</v>
      </c>
      <c r="K329" s="4">
        <v>3</v>
      </c>
      <c r="L329" s="4">
        <v>169</v>
      </c>
      <c r="M329" s="4">
        <v>34</v>
      </c>
      <c r="N329" s="4">
        <v>28.17</v>
      </c>
      <c r="O329" s="4">
        <v>99.05</v>
      </c>
      <c r="P329" s="4">
        <v>0</v>
      </c>
      <c r="Q329" s="4">
        <v>0</v>
      </c>
      <c r="R329" s="4">
        <v>14</v>
      </c>
      <c r="S329" s="4">
        <v>8</v>
      </c>
      <c r="T329" s="4">
        <v>0</v>
      </c>
      <c r="U329" s="4">
        <v>3</v>
      </c>
      <c r="V329" s="4">
        <v>17.690000000000001</v>
      </c>
      <c r="W329" s="4">
        <v>7.72</v>
      </c>
      <c r="X329" s="4">
        <v>11.92</v>
      </c>
      <c r="Y329" s="4" t="s">
        <v>796</v>
      </c>
      <c r="Z329" s="4">
        <v>0</v>
      </c>
      <c r="AA329" s="4">
        <v>29.1</v>
      </c>
      <c r="AB329" s="4">
        <v>5</v>
      </c>
      <c r="AC329" s="4">
        <v>0</v>
      </c>
      <c r="AD329" s="4" t="s">
        <v>47</v>
      </c>
      <c r="AE329" s="3" t="s">
        <v>475</v>
      </c>
      <c r="AF329" s="4" t="s">
        <v>129</v>
      </c>
      <c r="AG329" s="4" t="s">
        <v>476</v>
      </c>
      <c r="AH329" s="4">
        <v>2</v>
      </c>
    </row>
    <row r="330" spans="1:34" x14ac:dyDescent="0.3">
      <c r="A330" s="7" t="s">
        <v>1163</v>
      </c>
      <c r="B330" s="7" t="s">
        <v>1164</v>
      </c>
      <c r="C330" s="7" t="s">
        <v>55</v>
      </c>
      <c r="D330" s="7" t="s">
        <v>588</v>
      </c>
      <c r="E330" s="7" t="s">
        <v>483</v>
      </c>
      <c r="F330" s="7" t="s">
        <v>471</v>
      </c>
      <c r="G330" s="7" t="s">
        <v>491</v>
      </c>
      <c r="H330" s="7" t="s">
        <v>556</v>
      </c>
      <c r="I330" s="7">
        <v>12</v>
      </c>
      <c r="J330" s="7">
        <v>11</v>
      </c>
      <c r="K330" s="7">
        <v>0</v>
      </c>
      <c r="L330" s="7">
        <v>98</v>
      </c>
      <c r="M330" s="7">
        <v>18</v>
      </c>
      <c r="N330" s="7">
        <v>8.91</v>
      </c>
      <c r="O330" s="7">
        <v>129.94999999999999</v>
      </c>
      <c r="P330" s="7">
        <v>0</v>
      </c>
      <c r="Q330" s="7">
        <v>0</v>
      </c>
      <c r="R330" s="7">
        <v>8</v>
      </c>
      <c r="S330" s="7">
        <v>4</v>
      </c>
      <c r="T330" s="7">
        <v>2</v>
      </c>
      <c r="U330" s="7">
        <v>21</v>
      </c>
      <c r="V330" s="7">
        <v>19.3</v>
      </c>
      <c r="W330" s="7">
        <v>8.65</v>
      </c>
      <c r="X330" s="7">
        <v>15.99</v>
      </c>
      <c r="Y330" s="7" t="s">
        <v>538</v>
      </c>
      <c r="Z330" s="7">
        <v>0</v>
      </c>
      <c r="AA330" s="7">
        <v>40.9</v>
      </c>
      <c r="AB330" s="7">
        <v>5</v>
      </c>
      <c r="AC330" s="7">
        <v>0</v>
      </c>
      <c r="AD330" s="7" t="s">
        <v>55</v>
      </c>
      <c r="AE330" s="8" t="s">
        <v>486</v>
      </c>
      <c r="AF330" s="7" t="s">
        <v>181</v>
      </c>
      <c r="AG330" s="7" t="s">
        <v>476</v>
      </c>
      <c r="AH330" s="7">
        <v>2</v>
      </c>
    </row>
    <row r="331" spans="1:34" x14ac:dyDescent="0.3">
      <c r="A331" s="4" t="s">
        <v>1165</v>
      </c>
      <c r="B331" s="4" t="s">
        <v>1166</v>
      </c>
      <c r="C331" s="4" t="s">
        <v>20</v>
      </c>
      <c r="D331" s="4" t="s">
        <v>523</v>
      </c>
      <c r="E331" s="4" t="s">
        <v>483</v>
      </c>
      <c r="F331" s="4" t="s">
        <v>484</v>
      </c>
      <c r="G331" s="4" t="s">
        <v>472</v>
      </c>
      <c r="H331" s="4" t="s">
        <v>473</v>
      </c>
      <c r="I331" s="4">
        <v>12</v>
      </c>
      <c r="J331" s="4">
        <v>11</v>
      </c>
      <c r="K331" s="4">
        <v>1</v>
      </c>
      <c r="L331" s="4">
        <v>180</v>
      </c>
      <c r="M331" s="4">
        <v>54</v>
      </c>
      <c r="N331" s="4">
        <v>18</v>
      </c>
      <c r="O331" s="4">
        <v>184.52</v>
      </c>
      <c r="P331" s="4">
        <v>0</v>
      </c>
      <c r="Q331" s="4">
        <v>0</v>
      </c>
      <c r="R331" s="4">
        <v>22</v>
      </c>
      <c r="S331" s="4">
        <v>20</v>
      </c>
      <c r="T331" s="4">
        <v>0</v>
      </c>
      <c r="U331" s="4">
        <v>9</v>
      </c>
      <c r="V331" s="4">
        <v>23.67</v>
      </c>
      <c r="W331" s="4">
        <v>6.84</v>
      </c>
      <c r="X331" s="4">
        <v>21.64</v>
      </c>
      <c r="Y331" s="4" t="s">
        <v>583</v>
      </c>
      <c r="Z331" s="4">
        <v>0</v>
      </c>
      <c r="AA331" s="4">
        <v>41.9</v>
      </c>
      <c r="AB331" s="4">
        <v>12</v>
      </c>
      <c r="AC331" s="4">
        <v>0</v>
      </c>
      <c r="AD331" s="4" t="s">
        <v>81</v>
      </c>
      <c r="AE331" s="8" t="s">
        <v>486</v>
      </c>
      <c r="AF331" s="4" t="s">
        <v>235</v>
      </c>
      <c r="AG331" s="4" t="s">
        <v>476</v>
      </c>
      <c r="AH331" s="4">
        <v>18</v>
      </c>
    </row>
    <row r="332" spans="1:34" x14ac:dyDescent="0.3">
      <c r="A332" s="7" t="s">
        <v>1167</v>
      </c>
      <c r="B332" s="7" t="s">
        <v>1168</v>
      </c>
      <c r="C332" s="7" t="s">
        <v>55</v>
      </c>
      <c r="D332" s="7" t="s">
        <v>588</v>
      </c>
      <c r="E332" s="7" t="s">
        <v>483</v>
      </c>
      <c r="F332" s="7" t="s">
        <v>490</v>
      </c>
      <c r="G332" s="7" t="s">
        <v>472</v>
      </c>
      <c r="H332" s="7" t="s">
        <v>492</v>
      </c>
      <c r="I332" s="7">
        <v>11</v>
      </c>
      <c r="J332" s="7">
        <v>9</v>
      </c>
      <c r="K332" s="7">
        <v>2</v>
      </c>
      <c r="L332" s="7">
        <v>280</v>
      </c>
      <c r="M332" s="7">
        <v>69</v>
      </c>
      <c r="N332" s="7">
        <v>40</v>
      </c>
      <c r="O332" s="7">
        <v>133.51</v>
      </c>
      <c r="P332" s="7">
        <v>0</v>
      </c>
      <c r="Q332" s="7">
        <v>0</v>
      </c>
      <c r="R332" s="7">
        <v>30</v>
      </c>
      <c r="S332" s="7">
        <v>27</v>
      </c>
      <c r="T332" s="7">
        <v>0</v>
      </c>
      <c r="U332" s="7">
        <v>0</v>
      </c>
      <c r="V332" s="7" t="s">
        <v>493</v>
      </c>
      <c r="W332" s="7" t="s">
        <v>493</v>
      </c>
      <c r="X332" s="7" t="s">
        <v>493</v>
      </c>
      <c r="Y332" s="7" t="s">
        <v>493</v>
      </c>
      <c r="Z332" s="7">
        <v>0</v>
      </c>
      <c r="AA332" s="7">
        <v>0</v>
      </c>
      <c r="AB332" s="7">
        <v>11</v>
      </c>
      <c r="AC332" s="7">
        <v>0</v>
      </c>
      <c r="AD332" s="7" t="s">
        <v>28</v>
      </c>
      <c r="AE332" s="3" t="s">
        <v>475</v>
      </c>
      <c r="AF332" s="7" t="s">
        <v>264</v>
      </c>
      <c r="AG332" s="7" t="s">
        <v>476</v>
      </c>
      <c r="AH332" s="7">
        <v>6</v>
      </c>
    </row>
    <row r="333" spans="1:34" x14ac:dyDescent="0.3">
      <c r="A333" s="4" t="s">
        <v>1169</v>
      </c>
      <c r="B333" s="4" t="s">
        <v>1170</v>
      </c>
      <c r="C333" s="4" t="s">
        <v>20</v>
      </c>
      <c r="D333" s="4" t="s">
        <v>523</v>
      </c>
      <c r="E333" s="4" t="s">
        <v>543</v>
      </c>
      <c r="F333" s="4" t="s">
        <v>471</v>
      </c>
      <c r="G333" s="4" t="s">
        <v>472</v>
      </c>
      <c r="H333" s="4" t="s">
        <v>556</v>
      </c>
      <c r="I333" s="4">
        <v>11</v>
      </c>
      <c r="J333" s="4">
        <v>11</v>
      </c>
      <c r="K333" s="4">
        <v>0</v>
      </c>
      <c r="L333" s="4">
        <v>180</v>
      </c>
      <c r="M333" s="4">
        <v>24</v>
      </c>
      <c r="N333" s="4">
        <v>16.36</v>
      </c>
      <c r="O333" s="4">
        <v>109.47</v>
      </c>
      <c r="P333" s="4">
        <v>0</v>
      </c>
      <c r="Q333" s="4">
        <v>0</v>
      </c>
      <c r="R333" s="4">
        <v>15</v>
      </c>
      <c r="S333" s="4">
        <v>9</v>
      </c>
      <c r="T333" s="4">
        <v>0</v>
      </c>
      <c r="U333" s="4">
        <v>15</v>
      </c>
      <c r="V333" s="4">
        <v>27.44</v>
      </c>
      <c r="W333" s="4">
        <v>8.08</v>
      </c>
      <c r="X333" s="4">
        <v>11.52</v>
      </c>
      <c r="Y333" s="4" t="s">
        <v>781</v>
      </c>
      <c r="Z333" s="4">
        <v>0</v>
      </c>
      <c r="AA333" s="4">
        <v>31.3</v>
      </c>
      <c r="AB333" s="4">
        <v>5</v>
      </c>
      <c r="AC333" s="4">
        <v>0</v>
      </c>
      <c r="AD333" s="4" t="s">
        <v>55</v>
      </c>
      <c r="AE333" s="3" t="s">
        <v>475</v>
      </c>
      <c r="AF333" s="4" t="s">
        <v>52</v>
      </c>
      <c r="AG333" s="4" t="s">
        <v>476</v>
      </c>
      <c r="AH333" s="4">
        <v>3</v>
      </c>
    </row>
    <row r="334" spans="1:34" x14ac:dyDescent="0.3">
      <c r="A334" s="7" t="s">
        <v>1171</v>
      </c>
      <c r="B334" s="7" t="s">
        <v>1172</v>
      </c>
      <c r="C334" s="7" t="s">
        <v>55</v>
      </c>
      <c r="D334" s="7" t="s">
        <v>588</v>
      </c>
      <c r="E334" s="7" t="s">
        <v>589</v>
      </c>
      <c r="F334" s="7" t="s">
        <v>484</v>
      </c>
      <c r="G334" s="7" t="s">
        <v>472</v>
      </c>
      <c r="H334" s="7" t="s">
        <v>500</v>
      </c>
      <c r="I334" s="7">
        <v>12</v>
      </c>
      <c r="J334" s="7">
        <v>10</v>
      </c>
      <c r="K334" s="7">
        <v>3</v>
      </c>
      <c r="L334" s="7">
        <v>129</v>
      </c>
      <c r="M334" s="7">
        <v>81</v>
      </c>
      <c r="N334" s="7">
        <v>18.43</v>
      </c>
      <c r="O334" s="7">
        <v>125.06</v>
      </c>
      <c r="P334" s="7">
        <v>0</v>
      </c>
      <c r="Q334" s="7">
        <v>0</v>
      </c>
      <c r="R334" s="7">
        <v>13</v>
      </c>
      <c r="S334" s="7">
        <v>11</v>
      </c>
      <c r="T334" s="7">
        <v>0</v>
      </c>
      <c r="U334" s="7">
        <v>18</v>
      </c>
      <c r="V334" s="7">
        <v>16.510000000000002</v>
      </c>
      <c r="W334" s="7">
        <v>9.75</v>
      </c>
      <c r="X334" s="7">
        <v>16.43</v>
      </c>
      <c r="Y334" s="7" t="s">
        <v>765</v>
      </c>
      <c r="Z334" s="7">
        <v>0</v>
      </c>
      <c r="AA334" s="7">
        <v>32.200000000000003</v>
      </c>
      <c r="AB334" s="7">
        <v>10</v>
      </c>
      <c r="AC334" s="7">
        <v>0</v>
      </c>
      <c r="AD334" s="7" t="s">
        <v>142</v>
      </c>
      <c r="AE334" s="3" t="s">
        <v>475</v>
      </c>
      <c r="AF334" s="7" t="s">
        <v>139</v>
      </c>
      <c r="AG334" s="7" t="s">
        <v>476</v>
      </c>
      <c r="AH334" s="7">
        <v>5</v>
      </c>
    </row>
    <row r="335" spans="1:34" x14ac:dyDescent="0.3">
      <c r="A335" s="4" t="s">
        <v>1173</v>
      </c>
      <c r="B335" s="4" t="s">
        <v>1174</v>
      </c>
      <c r="C335" s="4" t="s">
        <v>81</v>
      </c>
      <c r="D335" s="4" t="s">
        <v>750</v>
      </c>
      <c r="E335" s="4" t="s">
        <v>483</v>
      </c>
      <c r="F335" s="4" t="s">
        <v>484</v>
      </c>
      <c r="G335" s="4" t="s">
        <v>491</v>
      </c>
      <c r="H335" s="4" t="s">
        <v>556</v>
      </c>
      <c r="I335" s="4">
        <v>14</v>
      </c>
      <c r="J335" s="4">
        <v>13</v>
      </c>
      <c r="K335" s="4">
        <v>2</v>
      </c>
      <c r="L335" s="4">
        <v>494</v>
      </c>
      <c r="M335" s="4">
        <v>37</v>
      </c>
      <c r="N335" s="4">
        <v>44.91</v>
      </c>
      <c r="O335" s="4">
        <v>164.49</v>
      </c>
      <c r="P335" s="4">
        <v>0</v>
      </c>
      <c r="Q335" s="4">
        <v>0</v>
      </c>
      <c r="R335" s="4">
        <v>67</v>
      </c>
      <c r="S335" s="4">
        <v>25</v>
      </c>
      <c r="T335" s="4">
        <v>0</v>
      </c>
      <c r="U335" s="4">
        <v>8</v>
      </c>
      <c r="V335" s="4">
        <v>24.43</v>
      </c>
      <c r="W335" s="4">
        <v>9.48</v>
      </c>
      <c r="X335" s="4">
        <v>16.11</v>
      </c>
      <c r="Y335" s="4" t="s">
        <v>599</v>
      </c>
      <c r="Z335" s="4">
        <v>0</v>
      </c>
      <c r="AA335" s="4">
        <v>49.1</v>
      </c>
      <c r="AB335" s="4">
        <v>11</v>
      </c>
      <c r="AC335" s="4">
        <v>0</v>
      </c>
      <c r="AD335" s="4" t="s">
        <v>38</v>
      </c>
      <c r="AE335" s="8" t="s">
        <v>486</v>
      </c>
      <c r="AF335" s="4" t="s">
        <v>381</v>
      </c>
      <c r="AG335" s="4" t="s">
        <v>502</v>
      </c>
      <c r="AH335" s="4">
        <v>0.4</v>
      </c>
    </row>
    <row r="336" spans="1:34" x14ac:dyDescent="0.3">
      <c r="A336" s="7" t="s">
        <v>1175</v>
      </c>
      <c r="B336" s="7" t="s">
        <v>1176</v>
      </c>
      <c r="C336" s="7" t="s">
        <v>81</v>
      </c>
      <c r="D336" s="7" t="s">
        <v>750</v>
      </c>
      <c r="E336" s="7" t="s">
        <v>559</v>
      </c>
      <c r="F336" s="7" t="s">
        <v>484</v>
      </c>
      <c r="G336" s="7" t="s">
        <v>491</v>
      </c>
      <c r="H336" s="7" t="s">
        <v>480</v>
      </c>
      <c r="I336" s="7">
        <v>13</v>
      </c>
      <c r="J336" s="7">
        <v>13</v>
      </c>
      <c r="K336" s="7">
        <v>1</v>
      </c>
      <c r="L336" s="7">
        <v>551</v>
      </c>
      <c r="M336" s="7">
        <v>44</v>
      </c>
      <c r="N336" s="7">
        <v>45.92</v>
      </c>
      <c r="O336" s="7">
        <v>170.77</v>
      </c>
      <c r="P336" s="7">
        <v>1</v>
      </c>
      <c r="Q336" s="7">
        <v>0</v>
      </c>
      <c r="R336" s="7">
        <v>49</v>
      </c>
      <c r="S336" s="7">
        <v>39</v>
      </c>
      <c r="T336" s="7">
        <v>1</v>
      </c>
      <c r="U336" s="7">
        <v>18</v>
      </c>
      <c r="V336" s="7">
        <v>20.23</v>
      </c>
      <c r="W336" s="7">
        <v>7.37</v>
      </c>
      <c r="X336" s="7">
        <v>10.32</v>
      </c>
      <c r="Y336" s="7" t="s">
        <v>560</v>
      </c>
      <c r="Z336" s="7">
        <v>0</v>
      </c>
      <c r="AA336" s="7">
        <v>35.1</v>
      </c>
      <c r="AB336" s="7">
        <v>8</v>
      </c>
      <c r="AC336" s="7">
        <v>0</v>
      </c>
      <c r="AD336" s="7" t="s">
        <v>28</v>
      </c>
      <c r="AE336" s="3" t="s">
        <v>475</v>
      </c>
      <c r="AF336" s="7" t="s">
        <v>264</v>
      </c>
      <c r="AG336" s="7" t="s">
        <v>476</v>
      </c>
      <c r="AH336" s="7">
        <v>3</v>
      </c>
    </row>
    <row r="337" spans="1:34" x14ac:dyDescent="0.3">
      <c r="A337" s="4" t="s">
        <v>1177</v>
      </c>
      <c r="B337" s="4" t="s">
        <v>1178</v>
      </c>
      <c r="C337" s="4" t="s">
        <v>20</v>
      </c>
      <c r="D337" s="4" t="s">
        <v>523</v>
      </c>
      <c r="E337" s="4" t="s">
        <v>483</v>
      </c>
      <c r="F337" s="4" t="s">
        <v>471</v>
      </c>
      <c r="G337" s="4" t="s">
        <v>472</v>
      </c>
      <c r="H337" s="4" t="s">
        <v>514</v>
      </c>
      <c r="I337" s="4">
        <v>11</v>
      </c>
      <c r="J337" s="4">
        <v>11</v>
      </c>
      <c r="K337" s="4">
        <v>0</v>
      </c>
      <c r="L337" s="4">
        <v>36</v>
      </c>
      <c r="M337" s="4">
        <v>19</v>
      </c>
      <c r="N337" s="4">
        <v>3.27</v>
      </c>
      <c r="O337" s="4">
        <v>122.14</v>
      </c>
      <c r="P337" s="4">
        <v>0</v>
      </c>
      <c r="Q337" s="4">
        <v>0</v>
      </c>
      <c r="R337" s="4">
        <v>3</v>
      </c>
      <c r="S337" s="4">
        <v>1</v>
      </c>
      <c r="T337" s="4">
        <v>0</v>
      </c>
      <c r="U337" s="4">
        <v>0</v>
      </c>
      <c r="V337" s="4">
        <v>24.33</v>
      </c>
      <c r="W337" s="4">
        <v>7.9</v>
      </c>
      <c r="X337" s="4">
        <v>17.16</v>
      </c>
      <c r="Y337" s="4" t="s">
        <v>701</v>
      </c>
      <c r="Z337" s="4">
        <v>0</v>
      </c>
      <c r="AA337" s="4">
        <v>40.9</v>
      </c>
      <c r="AB337" s="4">
        <v>2</v>
      </c>
      <c r="AC337" s="4">
        <v>0</v>
      </c>
      <c r="AD337" s="4" t="s">
        <v>46</v>
      </c>
      <c r="AE337" s="3" t="s">
        <v>475</v>
      </c>
      <c r="AF337" s="4" t="s">
        <v>279</v>
      </c>
      <c r="AG337" s="4" t="s">
        <v>476</v>
      </c>
      <c r="AH337" s="4">
        <v>21</v>
      </c>
    </row>
    <row r="338" spans="1:34" x14ac:dyDescent="0.3">
      <c r="A338" s="7" t="s">
        <v>1179</v>
      </c>
      <c r="B338" s="7" t="s">
        <v>1180</v>
      </c>
      <c r="C338" s="7" t="s">
        <v>19</v>
      </c>
      <c r="D338" s="7" t="s">
        <v>469</v>
      </c>
      <c r="E338" s="7" t="s">
        <v>536</v>
      </c>
      <c r="F338" s="7" t="s">
        <v>505</v>
      </c>
      <c r="G338" s="7" t="s">
        <v>491</v>
      </c>
      <c r="H338" s="7" t="s">
        <v>492</v>
      </c>
      <c r="I338" s="7">
        <v>8</v>
      </c>
      <c r="J338" s="7">
        <v>8</v>
      </c>
      <c r="K338" s="7">
        <v>0</v>
      </c>
      <c r="L338" s="7">
        <v>216</v>
      </c>
      <c r="M338" s="7">
        <v>36</v>
      </c>
      <c r="N338" s="7">
        <v>27</v>
      </c>
      <c r="O338" s="7">
        <v>169.85</v>
      </c>
      <c r="P338" s="7">
        <v>0</v>
      </c>
      <c r="Q338" s="7">
        <v>0</v>
      </c>
      <c r="R338" s="7">
        <v>21</v>
      </c>
      <c r="S338" s="7">
        <v>23</v>
      </c>
      <c r="T338" s="7">
        <v>0</v>
      </c>
      <c r="U338" s="7">
        <v>0</v>
      </c>
      <c r="V338" s="7" t="s">
        <v>493</v>
      </c>
      <c r="W338" s="7" t="s">
        <v>493</v>
      </c>
      <c r="X338" s="7" t="s">
        <v>493</v>
      </c>
      <c r="Y338" s="7" t="s">
        <v>493</v>
      </c>
      <c r="Z338" s="7">
        <v>0</v>
      </c>
      <c r="AA338" s="7">
        <v>0</v>
      </c>
      <c r="AB338" s="7">
        <v>6</v>
      </c>
      <c r="AC338" s="7">
        <v>2</v>
      </c>
      <c r="AD338" s="7" t="s">
        <v>19</v>
      </c>
      <c r="AE338" s="3" t="s">
        <v>475</v>
      </c>
      <c r="AF338" s="7" t="s">
        <v>213</v>
      </c>
      <c r="AG338" s="7" t="s">
        <v>476</v>
      </c>
      <c r="AH338" s="7">
        <v>3</v>
      </c>
    </row>
    <row r="339" spans="1:34" x14ac:dyDescent="0.3">
      <c r="A339" s="4" t="s">
        <v>1181</v>
      </c>
      <c r="B339" s="4" t="s">
        <v>1182</v>
      </c>
      <c r="C339" s="4" t="s">
        <v>28</v>
      </c>
      <c r="D339" s="4" t="s">
        <v>779</v>
      </c>
      <c r="E339" s="4" t="s">
        <v>483</v>
      </c>
      <c r="F339" s="4" t="s">
        <v>484</v>
      </c>
      <c r="G339" s="4" t="s">
        <v>472</v>
      </c>
      <c r="H339" s="4" t="s">
        <v>516</v>
      </c>
      <c r="I339" s="4">
        <v>9</v>
      </c>
      <c r="J339" s="4">
        <v>7</v>
      </c>
      <c r="K339" s="4">
        <v>3</v>
      </c>
      <c r="L339" s="4">
        <v>167</v>
      </c>
      <c r="M339" s="4">
        <v>110</v>
      </c>
      <c r="N339" s="4">
        <v>41.75</v>
      </c>
      <c r="O339" s="4">
        <v>111.25</v>
      </c>
      <c r="P339" s="4">
        <v>0</v>
      </c>
      <c r="Q339" s="4">
        <v>0</v>
      </c>
      <c r="R339" s="4">
        <v>21</v>
      </c>
      <c r="S339" s="4">
        <v>6</v>
      </c>
      <c r="T339" s="4">
        <v>0</v>
      </c>
      <c r="U339" s="4">
        <v>8</v>
      </c>
      <c r="V339" s="4">
        <v>15.6</v>
      </c>
      <c r="W339" s="4">
        <v>9.41</v>
      </c>
      <c r="X339" s="4">
        <v>11.55</v>
      </c>
      <c r="Y339" s="4" t="s">
        <v>541</v>
      </c>
      <c r="Z339" s="4">
        <v>0</v>
      </c>
      <c r="AA339" s="4">
        <v>23.3</v>
      </c>
      <c r="AB339" s="4">
        <v>4</v>
      </c>
      <c r="AC339" s="4">
        <v>0</v>
      </c>
      <c r="AD339" s="4" t="s">
        <v>47</v>
      </c>
      <c r="AE339" s="3" t="s">
        <v>475</v>
      </c>
      <c r="AF339" s="4" t="s">
        <v>298</v>
      </c>
      <c r="AG339" s="4" t="s">
        <v>476</v>
      </c>
      <c r="AH339" s="4">
        <v>4</v>
      </c>
    </row>
    <row r="340" spans="1:34" x14ac:dyDescent="0.3">
      <c r="A340" s="7" t="s">
        <v>1183</v>
      </c>
      <c r="B340" s="7" t="s">
        <v>1184</v>
      </c>
      <c r="C340" s="7" t="s">
        <v>81</v>
      </c>
      <c r="D340" s="7" t="s">
        <v>750</v>
      </c>
      <c r="E340" s="7" t="s">
        <v>483</v>
      </c>
      <c r="F340" s="7" t="s">
        <v>490</v>
      </c>
      <c r="G340" s="7" t="s">
        <v>491</v>
      </c>
      <c r="H340" s="7" t="s">
        <v>492</v>
      </c>
      <c r="I340" s="7">
        <v>11</v>
      </c>
      <c r="J340" s="7">
        <v>10</v>
      </c>
      <c r="K340" s="7">
        <v>1</v>
      </c>
      <c r="L340" s="7">
        <v>382</v>
      </c>
      <c r="M340" s="7">
        <v>33</v>
      </c>
      <c r="N340" s="7">
        <v>42.44</v>
      </c>
      <c r="O340" s="7">
        <v>176.49</v>
      </c>
      <c r="P340" s="7">
        <v>0</v>
      </c>
      <c r="Q340" s="7">
        <v>0</v>
      </c>
      <c r="R340" s="7">
        <v>47</v>
      </c>
      <c r="S340" s="7">
        <v>24</v>
      </c>
      <c r="T340" s="7">
        <v>0</v>
      </c>
      <c r="U340" s="7">
        <v>0</v>
      </c>
      <c r="V340" s="7" t="s">
        <v>493</v>
      </c>
      <c r="W340" s="7" t="s">
        <v>493</v>
      </c>
      <c r="X340" s="7" t="s">
        <v>493</v>
      </c>
      <c r="Y340" s="7" t="s">
        <v>493</v>
      </c>
      <c r="Z340" s="7">
        <v>0</v>
      </c>
      <c r="AA340" s="7">
        <v>0</v>
      </c>
      <c r="AB340" s="7">
        <v>7</v>
      </c>
      <c r="AC340" s="7">
        <v>0</v>
      </c>
      <c r="AD340" s="7" t="s">
        <v>142</v>
      </c>
      <c r="AE340" s="8" t="s">
        <v>486</v>
      </c>
      <c r="AF340" s="7" t="s">
        <v>253</v>
      </c>
      <c r="AG340" s="7" t="s">
        <v>502</v>
      </c>
      <c r="AH340" s="7">
        <v>0.5</v>
      </c>
    </row>
    <row r="341" spans="1:34" x14ac:dyDescent="0.3">
      <c r="A341" s="4" t="s">
        <v>1185</v>
      </c>
      <c r="B341" s="4" t="s">
        <v>1186</v>
      </c>
      <c r="C341" s="4" t="s">
        <v>81</v>
      </c>
      <c r="D341" s="4" t="s">
        <v>750</v>
      </c>
      <c r="E341" s="4" t="s">
        <v>483</v>
      </c>
      <c r="F341" s="4" t="s">
        <v>484</v>
      </c>
      <c r="G341" s="4" t="s">
        <v>491</v>
      </c>
      <c r="H341" s="4" t="s">
        <v>509</v>
      </c>
      <c r="I341" s="4">
        <v>10</v>
      </c>
      <c r="J341" s="4">
        <v>8</v>
      </c>
      <c r="K341" s="4">
        <v>1</v>
      </c>
      <c r="L341" s="4">
        <v>248</v>
      </c>
      <c r="M341" s="4">
        <v>53</v>
      </c>
      <c r="N341" s="4">
        <v>35.43</v>
      </c>
      <c r="O341" s="4">
        <v>181.57</v>
      </c>
      <c r="P341" s="4">
        <v>0</v>
      </c>
      <c r="Q341" s="4">
        <v>0</v>
      </c>
      <c r="R341" s="4">
        <v>29</v>
      </c>
      <c r="S341" s="4">
        <v>29</v>
      </c>
      <c r="T341" s="4">
        <v>0</v>
      </c>
      <c r="U341" s="4">
        <v>14</v>
      </c>
      <c r="V341" s="4">
        <v>25</v>
      </c>
      <c r="W341" s="4">
        <v>10.06</v>
      </c>
      <c r="X341" s="4">
        <v>18.3</v>
      </c>
      <c r="Y341" s="4" t="s">
        <v>692</v>
      </c>
      <c r="Z341" s="4">
        <v>0</v>
      </c>
      <c r="AA341" s="4">
        <v>33.4</v>
      </c>
      <c r="AB341" s="4">
        <v>9</v>
      </c>
      <c r="AC341" s="4">
        <v>0</v>
      </c>
      <c r="AD341" s="4" t="s">
        <v>81</v>
      </c>
      <c r="AE341" s="8" t="s">
        <v>486</v>
      </c>
      <c r="AF341" s="4" t="s">
        <v>368</v>
      </c>
      <c r="AG341" s="4" t="s">
        <v>476</v>
      </c>
      <c r="AH341" s="4">
        <v>6</v>
      </c>
    </row>
    <row r="342" spans="1:34" x14ac:dyDescent="0.3">
      <c r="A342" s="7" t="s">
        <v>1187</v>
      </c>
      <c r="B342" s="7" t="s">
        <v>1188</v>
      </c>
      <c r="C342" s="7" t="s">
        <v>46</v>
      </c>
      <c r="D342" s="7" t="s">
        <v>622</v>
      </c>
      <c r="E342" s="7" t="s">
        <v>536</v>
      </c>
      <c r="F342" s="7" t="s">
        <v>471</v>
      </c>
      <c r="G342" s="7" t="s">
        <v>491</v>
      </c>
      <c r="H342" s="7" t="s">
        <v>473</v>
      </c>
      <c r="I342" s="7">
        <v>10</v>
      </c>
      <c r="J342" s="7">
        <v>9</v>
      </c>
      <c r="K342" s="7">
        <v>3</v>
      </c>
      <c r="L342" s="7">
        <v>233</v>
      </c>
      <c r="M342" s="7">
        <v>19</v>
      </c>
      <c r="N342" s="7">
        <v>38.83</v>
      </c>
      <c r="O342" s="7">
        <v>98.06</v>
      </c>
      <c r="P342" s="7">
        <v>0</v>
      </c>
      <c r="Q342" s="7">
        <v>0</v>
      </c>
      <c r="R342" s="7">
        <v>19</v>
      </c>
      <c r="S342" s="7">
        <v>11</v>
      </c>
      <c r="T342" s="7">
        <v>2</v>
      </c>
      <c r="U342" s="7">
        <v>16</v>
      </c>
      <c r="V342" s="7">
        <v>29.46</v>
      </c>
      <c r="W342" s="7">
        <v>9.92</v>
      </c>
      <c r="X342" s="7">
        <v>15.9</v>
      </c>
      <c r="Y342" s="7" t="s">
        <v>671</v>
      </c>
      <c r="Z342" s="7">
        <v>0</v>
      </c>
      <c r="AA342" s="7">
        <v>34</v>
      </c>
      <c r="AB342" s="7">
        <v>4</v>
      </c>
      <c r="AC342" s="7">
        <v>0</v>
      </c>
      <c r="AD342" s="7" t="s">
        <v>46</v>
      </c>
      <c r="AE342" s="3" t="s">
        <v>475</v>
      </c>
      <c r="AF342" s="7" t="s">
        <v>66</v>
      </c>
      <c r="AG342" s="7" t="s">
        <v>476</v>
      </c>
      <c r="AH342" s="7">
        <v>18</v>
      </c>
    </row>
    <row r="343" spans="1:34" x14ac:dyDescent="0.3">
      <c r="A343" s="4" t="s">
        <v>1189</v>
      </c>
      <c r="B343" s="4" t="s">
        <v>1190</v>
      </c>
      <c r="C343" s="4" t="s">
        <v>47</v>
      </c>
      <c r="D343" s="4" t="s">
        <v>717</v>
      </c>
      <c r="E343" s="4" t="s">
        <v>589</v>
      </c>
      <c r="F343" s="4" t="s">
        <v>490</v>
      </c>
      <c r="G343" s="4" t="s">
        <v>491</v>
      </c>
      <c r="H343" s="4" t="s">
        <v>492</v>
      </c>
      <c r="I343" s="4">
        <v>14</v>
      </c>
      <c r="J343" s="4">
        <v>13</v>
      </c>
      <c r="K343" s="4">
        <v>1</v>
      </c>
      <c r="L343" s="4">
        <v>540</v>
      </c>
      <c r="M343" s="4">
        <v>100</v>
      </c>
      <c r="N343" s="4">
        <v>45</v>
      </c>
      <c r="O343" s="4">
        <v>178</v>
      </c>
      <c r="P343" s="4">
        <v>1</v>
      </c>
      <c r="Q343" s="4">
        <v>0</v>
      </c>
      <c r="R343" s="4">
        <v>66</v>
      </c>
      <c r="S343" s="4">
        <v>61</v>
      </c>
      <c r="T343" s="4">
        <v>0</v>
      </c>
      <c r="U343" s="4">
        <v>0</v>
      </c>
      <c r="V343" s="4" t="s">
        <v>493</v>
      </c>
      <c r="W343" s="4" t="s">
        <v>493</v>
      </c>
      <c r="X343" s="4" t="s">
        <v>493</v>
      </c>
      <c r="Y343" s="4" t="s">
        <v>493</v>
      </c>
      <c r="Z343" s="4">
        <v>0</v>
      </c>
      <c r="AA343" s="4">
        <v>0</v>
      </c>
      <c r="AB343" s="4">
        <v>4</v>
      </c>
      <c r="AC343" s="4">
        <v>0</v>
      </c>
      <c r="AD343" s="4" t="s">
        <v>28</v>
      </c>
      <c r="AE343" s="8" t="s">
        <v>486</v>
      </c>
      <c r="AF343" s="4" t="s">
        <v>134</v>
      </c>
      <c r="AG343" s="4" t="s">
        <v>476</v>
      </c>
      <c r="AH343" s="4">
        <v>18</v>
      </c>
    </row>
    <row r="344" spans="1:34" x14ac:dyDescent="0.3">
      <c r="A344" s="7" t="s">
        <v>1191</v>
      </c>
      <c r="B344" s="7" t="s">
        <v>1192</v>
      </c>
      <c r="C344" s="7" t="s">
        <v>47</v>
      </c>
      <c r="D344" s="7" t="s">
        <v>717</v>
      </c>
      <c r="E344" s="7" t="s">
        <v>483</v>
      </c>
      <c r="F344" s="7" t="s">
        <v>484</v>
      </c>
      <c r="G344" s="7" t="s">
        <v>472</v>
      </c>
      <c r="H344" s="7" t="s">
        <v>556</v>
      </c>
      <c r="I344" s="7">
        <v>8</v>
      </c>
      <c r="J344" s="7">
        <v>6</v>
      </c>
      <c r="K344" s="7">
        <v>3</v>
      </c>
      <c r="L344" s="7">
        <v>122</v>
      </c>
      <c r="M344" s="7">
        <v>102</v>
      </c>
      <c r="N344" s="7">
        <v>40.67</v>
      </c>
      <c r="O344" s="7">
        <v>167.6</v>
      </c>
      <c r="P344" s="7">
        <v>0</v>
      </c>
      <c r="Q344" s="7">
        <v>0</v>
      </c>
      <c r="R344" s="7">
        <v>14</v>
      </c>
      <c r="S344" s="7">
        <v>13</v>
      </c>
      <c r="T344" s="7">
        <v>0</v>
      </c>
      <c r="U344" s="7">
        <v>3</v>
      </c>
      <c r="V344" s="7">
        <v>17.670000000000002</v>
      </c>
      <c r="W344" s="7">
        <v>6.57</v>
      </c>
      <c r="X344" s="7">
        <v>13.32</v>
      </c>
      <c r="Y344" s="7" t="s">
        <v>619</v>
      </c>
      <c r="Z344" s="7">
        <v>0</v>
      </c>
      <c r="AA344" s="7">
        <v>29.9</v>
      </c>
      <c r="AB344" s="7">
        <v>8</v>
      </c>
      <c r="AC344" s="7">
        <v>0</v>
      </c>
      <c r="AD344" s="7" t="s">
        <v>47</v>
      </c>
      <c r="AE344" s="3" t="s">
        <v>475</v>
      </c>
      <c r="AF344" s="7" t="s">
        <v>181</v>
      </c>
      <c r="AG344" s="7" t="s">
        <v>502</v>
      </c>
      <c r="AH344" s="7">
        <v>18</v>
      </c>
    </row>
    <row r="345" spans="1:34" x14ac:dyDescent="0.3">
      <c r="A345" s="4" t="s">
        <v>1193</v>
      </c>
      <c r="B345" s="4" t="s">
        <v>1194</v>
      </c>
      <c r="C345" s="4" t="s">
        <v>28</v>
      </c>
      <c r="D345" s="4" t="s">
        <v>779</v>
      </c>
      <c r="E345" s="4" t="s">
        <v>483</v>
      </c>
      <c r="F345" s="4" t="s">
        <v>490</v>
      </c>
      <c r="G345" s="4" t="s">
        <v>472</v>
      </c>
      <c r="H345" s="4" t="s">
        <v>492</v>
      </c>
      <c r="I345" s="4">
        <v>8</v>
      </c>
      <c r="J345" s="4">
        <v>7</v>
      </c>
      <c r="K345" s="4">
        <v>0</v>
      </c>
      <c r="L345" s="4">
        <v>381</v>
      </c>
      <c r="M345" s="4">
        <v>108</v>
      </c>
      <c r="N345" s="4">
        <v>54.43</v>
      </c>
      <c r="O345" s="4">
        <v>111.89</v>
      </c>
      <c r="P345" s="4">
        <v>0</v>
      </c>
      <c r="Q345" s="4">
        <v>0</v>
      </c>
      <c r="R345" s="4">
        <v>38</v>
      </c>
      <c r="S345" s="4">
        <v>40</v>
      </c>
      <c r="T345" s="4">
        <v>0</v>
      </c>
      <c r="U345" s="4">
        <v>0</v>
      </c>
      <c r="V345" s="4" t="s">
        <v>493</v>
      </c>
      <c r="W345" s="4" t="s">
        <v>493</v>
      </c>
      <c r="X345" s="4" t="s">
        <v>493</v>
      </c>
      <c r="Y345" s="4" t="s">
        <v>493</v>
      </c>
      <c r="Z345" s="4">
        <v>0</v>
      </c>
      <c r="AA345" s="4">
        <v>0</v>
      </c>
      <c r="AB345" s="4">
        <v>2</v>
      </c>
      <c r="AC345" s="4">
        <v>0</v>
      </c>
      <c r="AD345" s="4" t="s">
        <v>55</v>
      </c>
      <c r="AE345" s="8" t="s">
        <v>486</v>
      </c>
      <c r="AF345" s="4" t="s">
        <v>176</v>
      </c>
      <c r="AG345" s="4" t="s">
        <v>476</v>
      </c>
      <c r="AH345" s="4">
        <v>3</v>
      </c>
    </row>
    <row r="346" spans="1:34" x14ac:dyDescent="0.3">
      <c r="A346" s="7" t="s">
        <v>1195</v>
      </c>
      <c r="B346" s="7" t="s">
        <v>1196</v>
      </c>
      <c r="C346" s="7" t="s">
        <v>19</v>
      </c>
      <c r="D346" s="7" t="s">
        <v>469</v>
      </c>
      <c r="E346" s="7" t="s">
        <v>543</v>
      </c>
      <c r="F346" s="7" t="s">
        <v>490</v>
      </c>
      <c r="G346" s="7" t="s">
        <v>491</v>
      </c>
      <c r="H346" s="7" t="s">
        <v>492</v>
      </c>
      <c r="I346" s="7">
        <v>9</v>
      </c>
      <c r="J346" s="7">
        <v>9</v>
      </c>
      <c r="K346" s="7">
        <v>3</v>
      </c>
      <c r="L346" s="7">
        <v>173</v>
      </c>
      <c r="M346" s="7">
        <v>99</v>
      </c>
      <c r="N346" s="7">
        <v>28.83</v>
      </c>
      <c r="O346" s="7">
        <v>126.79</v>
      </c>
      <c r="P346" s="7">
        <v>0</v>
      </c>
      <c r="Q346" s="7">
        <v>0</v>
      </c>
      <c r="R346" s="7">
        <v>22</v>
      </c>
      <c r="S346" s="7">
        <v>19</v>
      </c>
      <c r="T346" s="7">
        <v>0</v>
      </c>
      <c r="U346" s="7">
        <v>0</v>
      </c>
      <c r="V346" s="7" t="s">
        <v>493</v>
      </c>
      <c r="W346" s="7" t="s">
        <v>493</v>
      </c>
      <c r="X346" s="7" t="s">
        <v>493</v>
      </c>
      <c r="Y346" s="7" t="s">
        <v>493</v>
      </c>
      <c r="Z346" s="7">
        <v>0</v>
      </c>
      <c r="AA346" s="7">
        <v>0</v>
      </c>
      <c r="AB346" s="7">
        <v>3</v>
      </c>
      <c r="AC346" s="7">
        <v>0</v>
      </c>
      <c r="AD346" s="7" t="s">
        <v>20</v>
      </c>
      <c r="AE346" s="3" t="s">
        <v>475</v>
      </c>
      <c r="AF346" s="7" t="s">
        <v>269</v>
      </c>
      <c r="AG346" s="7" t="s">
        <v>476</v>
      </c>
      <c r="AH346" s="7">
        <v>7.5</v>
      </c>
    </row>
    <row r="347" spans="1:34" x14ac:dyDescent="0.3">
      <c r="A347" s="4" t="s">
        <v>1197</v>
      </c>
      <c r="B347" s="4" t="s">
        <v>1198</v>
      </c>
      <c r="C347" s="4" t="s">
        <v>81</v>
      </c>
      <c r="D347" s="4" t="s">
        <v>750</v>
      </c>
      <c r="E347" s="4" t="s">
        <v>483</v>
      </c>
      <c r="F347" s="4" t="s">
        <v>490</v>
      </c>
      <c r="G347" s="4" t="s">
        <v>491</v>
      </c>
      <c r="H347" s="4" t="s">
        <v>492</v>
      </c>
      <c r="I347" s="4">
        <v>11</v>
      </c>
      <c r="J347" s="4">
        <v>10</v>
      </c>
      <c r="K347" s="4">
        <v>1</v>
      </c>
      <c r="L347" s="4">
        <v>162</v>
      </c>
      <c r="M347" s="4">
        <v>86</v>
      </c>
      <c r="N347" s="4">
        <v>18</v>
      </c>
      <c r="O347" s="4">
        <v>163.77000000000001</v>
      </c>
      <c r="P347" s="4">
        <v>0</v>
      </c>
      <c r="Q347" s="4">
        <v>0</v>
      </c>
      <c r="R347" s="4">
        <v>22</v>
      </c>
      <c r="S347" s="4">
        <v>6</v>
      </c>
      <c r="T347" s="4">
        <v>0</v>
      </c>
      <c r="U347" s="4">
        <v>0</v>
      </c>
      <c r="V347" s="4" t="s">
        <v>493</v>
      </c>
      <c r="W347" s="4" t="s">
        <v>493</v>
      </c>
      <c r="X347" s="4" t="s">
        <v>493</v>
      </c>
      <c r="Y347" s="4" t="s">
        <v>493</v>
      </c>
      <c r="Z347" s="4">
        <v>0</v>
      </c>
      <c r="AA347" s="4">
        <v>0</v>
      </c>
      <c r="AB347" s="4">
        <v>2</v>
      </c>
      <c r="AC347" s="4">
        <v>0</v>
      </c>
      <c r="AD347" s="4" t="s">
        <v>19</v>
      </c>
      <c r="AE347" s="3" t="s">
        <v>475</v>
      </c>
      <c r="AF347" s="4" t="s">
        <v>377</v>
      </c>
      <c r="AG347" s="4" t="s">
        <v>476</v>
      </c>
      <c r="AH347" s="4">
        <v>5</v>
      </c>
    </row>
    <row r="348" spans="1:34" x14ac:dyDescent="0.3">
      <c r="A348" s="7" t="s">
        <v>1199</v>
      </c>
      <c r="B348" s="7" t="s">
        <v>1200</v>
      </c>
      <c r="C348" s="7" t="s">
        <v>37</v>
      </c>
      <c r="D348" s="7" t="s">
        <v>555</v>
      </c>
      <c r="E348" s="7" t="s">
        <v>483</v>
      </c>
      <c r="F348" s="7" t="s">
        <v>484</v>
      </c>
      <c r="G348" s="7" t="s">
        <v>491</v>
      </c>
      <c r="H348" s="7" t="s">
        <v>473</v>
      </c>
      <c r="I348" s="7">
        <v>11</v>
      </c>
      <c r="J348" s="7">
        <v>10</v>
      </c>
      <c r="K348" s="7">
        <v>3</v>
      </c>
      <c r="L348" s="7">
        <v>128</v>
      </c>
      <c r="M348" s="7">
        <v>113</v>
      </c>
      <c r="N348" s="7">
        <v>18.29</v>
      </c>
      <c r="O348" s="7">
        <v>159.63999999999999</v>
      </c>
      <c r="P348" s="7">
        <v>0</v>
      </c>
      <c r="Q348" s="7">
        <v>0</v>
      </c>
      <c r="R348" s="7">
        <v>11</v>
      </c>
      <c r="S348" s="7">
        <v>7</v>
      </c>
      <c r="T348" s="7">
        <v>0</v>
      </c>
      <c r="U348" s="7">
        <v>13</v>
      </c>
      <c r="V348" s="7">
        <v>25.11</v>
      </c>
      <c r="W348" s="7">
        <v>9.69</v>
      </c>
      <c r="X348" s="7">
        <v>15.6</v>
      </c>
      <c r="Y348" s="7" t="s">
        <v>567</v>
      </c>
      <c r="Z348" s="7">
        <v>0</v>
      </c>
      <c r="AA348" s="7">
        <v>41.5</v>
      </c>
      <c r="AB348" s="7">
        <v>5</v>
      </c>
      <c r="AC348" s="7">
        <v>0</v>
      </c>
      <c r="AD348" s="7" t="s">
        <v>19</v>
      </c>
      <c r="AE348" s="8" t="s">
        <v>486</v>
      </c>
      <c r="AF348" s="7" t="s">
        <v>347</v>
      </c>
      <c r="AG348" s="7" t="s">
        <v>476</v>
      </c>
      <c r="AH348" s="7">
        <v>0.75</v>
      </c>
    </row>
    <row r="349" spans="1:34" x14ac:dyDescent="0.3">
      <c r="A349" s="4" t="s">
        <v>1201</v>
      </c>
      <c r="B349" s="4" t="s">
        <v>1202</v>
      </c>
      <c r="C349" s="4" t="s">
        <v>37</v>
      </c>
      <c r="D349" s="4" t="s">
        <v>555</v>
      </c>
      <c r="E349" s="4" t="s">
        <v>483</v>
      </c>
      <c r="F349" s="4" t="s">
        <v>490</v>
      </c>
      <c r="G349" s="4" t="s">
        <v>491</v>
      </c>
      <c r="H349" s="4" t="s">
        <v>492</v>
      </c>
      <c r="I349" s="4">
        <v>12</v>
      </c>
      <c r="J349" s="4">
        <v>11</v>
      </c>
      <c r="K349" s="4">
        <v>1</v>
      </c>
      <c r="L349" s="4">
        <v>461</v>
      </c>
      <c r="M349" s="4">
        <v>77</v>
      </c>
      <c r="N349" s="4">
        <v>46.1</v>
      </c>
      <c r="O349" s="4">
        <v>115.23</v>
      </c>
      <c r="P349" s="4">
        <v>0</v>
      </c>
      <c r="Q349" s="4">
        <v>0</v>
      </c>
      <c r="R349" s="4">
        <v>40</v>
      </c>
      <c r="S349" s="4">
        <v>35</v>
      </c>
      <c r="T349" s="4">
        <v>0</v>
      </c>
      <c r="U349" s="4">
        <v>0</v>
      </c>
      <c r="V349" s="4" t="s">
        <v>493</v>
      </c>
      <c r="W349" s="4" t="s">
        <v>493</v>
      </c>
      <c r="X349" s="4" t="s">
        <v>493</v>
      </c>
      <c r="Y349" s="4" t="s">
        <v>493</v>
      </c>
      <c r="Z349" s="4">
        <v>0</v>
      </c>
      <c r="AA349" s="4">
        <v>0</v>
      </c>
      <c r="AB349" s="4">
        <v>2</v>
      </c>
      <c r="AC349" s="4">
        <v>0</v>
      </c>
      <c r="AD349" s="4" t="s">
        <v>81</v>
      </c>
      <c r="AE349" s="8" t="s">
        <v>486</v>
      </c>
      <c r="AF349" s="4" t="s">
        <v>171</v>
      </c>
      <c r="AG349" s="4" t="s">
        <v>476</v>
      </c>
      <c r="AH349" s="4">
        <v>18</v>
      </c>
    </row>
    <row r="350" spans="1:34" x14ac:dyDescent="0.3">
      <c r="A350" s="7" t="s">
        <v>1203</v>
      </c>
      <c r="B350" s="7" t="s">
        <v>1204</v>
      </c>
      <c r="C350" s="7" t="s">
        <v>38</v>
      </c>
      <c r="D350" s="7" t="s">
        <v>654</v>
      </c>
      <c r="E350" s="7" t="s">
        <v>543</v>
      </c>
      <c r="F350" s="7" t="s">
        <v>490</v>
      </c>
      <c r="G350" s="7" t="s">
        <v>472</v>
      </c>
      <c r="H350" s="7" t="s">
        <v>492</v>
      </c>
      <c r="I350" s="7">
        <v>14</v>
      </c>
      <c r="J350" s="7">
        <v>12</v>
      </c>
      <c r="K350" s="7">
        <v>1</v>
      </c>
      <c r="L350" s="7">
        <v>580</v>
      </c>
      <c r="M350" s="7">
        <v>64</v>
      </c>
      <c r="N350" s="7">
        <v>52.73</v>
      </c>
      <c r="O350" s="7">
        <v>127.09</v>
      </c>
      <c r="P350" s="7">
        <v>0</v>
      </c>
      <c r="Q350" s="7">
        <v>0</v>
      </c>
      <c r="R350" s="7">
        <v>46</v>
      </c>
      <c r="S350" s="7">
        <v>33</v>
      </c>
      <c r="T350" s="7">
        <v>0</v>
      </c>
      <c r="U350" s="7">
        <v>0</v>
      </c>
      <c r="V350" s="7" t="s">
        <v>493</v>
      </c>
      <c r="W350" s="7" t="s">
        <v>493</v>
      </c>
      <c r="X350" s="7" t="s">
        <v>493</v>
      </c>
      <c r="Y350" s="7" t="s">
        <v>493</v>
      </c>
      <c r="Z350" s="7">
        <v>0</v>
      </c>
      <c r="AA350" s="7">
        <v>0</v>
      </c>
      <c r="AB350" s="7">
        <v>4</v>
      </c>
      <c r="AC350" s="7">
        <v>0</v>
      </c>
      <c r="AD350" s="7" t="s">
        <v>20</v>
      </c>
      <c r="AE350" s="8" t="s">
        <v>486</v>
      </c>
      <c r="AF350" s="7" t="s">
        <v>159</v>
      </c>
      <c r="AG350" s="7" t="s">
        <v>476</v>
      </c>
      <c r="AH350" s="7">
        <v>4</v>
      </c>
    </row>
    <row r="351" spans="1:34" x14ac:dyDescent="0.3">
      <c r="A351" s="4" t="s">
        <v>1205</v>
      </c>
      <c r="B351" s="4" t="s">
        <v>1206</v>
      </c>
      <c r="C351" s="4" t="s">
        <v>38</v>
      </c>
      <c r="D351" s="4" t="s">
        <v>654</v>
      </c>
      <c r="E351" s="4" t="s">
        <v>483</v>
      </c>
      <c r="F351" s="4" t="s">
        <v>484</v>
      </c>
      <c r="G351" s="4" t="s">
        <v>491</v>
      </c>
      <c r="H351" s="4" t="s">
        <v>516</v>
      </c>
      <c r="I351" s="4">
        <v>13</v>
      </c>
      <c r="J351" s="4">
        <v>13</v>
      </c>
      <c r="K351" s="4">
        <v>0</v>
      </c>
      <c r="L351" s="4">
        <v>687</v>
      </c>
      <c r="M351" s="4">
        <v>42</v>
      </c>
      <c r="N351" s="4">
        <v>52.85</v>
      </c>
      <c r="O351" s="4">
        <v>167.89</v>
      </c>
      <c r="P351" s="4">
        <v>1</v>
      </c>
      <c r="Q351" s="4">
        <v>0</v>
      </c>
      <c r="R351" s="4">
        <v>74</v>
      </c>
      <c r="S351" s="4">
        <v>38</v>
      </c>
      <c r="T351" s="4">
        <v>1</v>
      </c>
      <c r="U351" s="4">
        <v>22</v>
      </c>
      <c r="V351" s="4">
        <v>15.25</v>
      </c>
      <c r="W351" s="4">
        <v>7.43</v>
      </c>
      <c r="X351" s="4">
        <v>12.26</v>
      </c>
      <c r="Y351" s="4" t="s">
        <v>637</v>
      </c>
      <c r="Z351" s="4">
        <v>0</v>
      </c>
      <c r="AA351" s="4">
        <v>43.8</v>
      </c>
      <c r="AB351" s="4">
        <v>3</v>
      </c>
      <c r="AC351" s="4">
        <v>0</v>
      </c>
      <c r="AD351" s="4" t="s">
        <v>55</v>
      </c>
      <c r="AE351" s="8" t="s">
        <v>486</v>
      </c>
      <c r="AF351" s="4" t="s">
        <v>165</v>
      </c>
      <c r="AG351" s="4" t="s">
        <v>476</v>
      </c>
      <c r="AH351" s="4">
        <v>6</v>
      </c>
    </row>
    <row r="352" spans="1:34" x14ac:dyDescent="0.3">
      <c r="A352" s="7" t="s">
        <v>1207</v>
      </c>
      <c r="B352" s="7" t="s">
        <v>1208</v>
      </c>
      <c r="C352" s="7" t="s">
        <v>81</v>
      </c>
      <c r="D352" s="7" t="s">
        <v>750</v>
      </c>
      <c r="E352" s="7" t="s">
        <v>470</v>
      </c>
      <c r="F352" s="7" t="s">
        <v>484</v>
      </c>
      <c r="G352" s="7" t="s">
        <v>472</v>
      </c>
      <c r="H352" s="7" t="s">
        <v>473</v>
      </c>
      <c r="I352" s="7">
        <v>9</v>
      </c>
      <c r="J352" s="7">
        <v>8</v>
      </c>
      <c r="K352" s="7">
        <v>0</v>
      </c>
      <c r="L352" s="7">
        <v>225</v>
      </c>
      <c r="M352" s="7">
        <v>53</v>
      </c>
      <c r="N352" s="7">
        <v>28.12</v>
      </c>
      <c r="O352" s="7">
        <v>144.66</v>
      </c>
      <c r="P352" s="7">
        <v>0</v>
      </c>
      <c r="Q352" s="7">
        <v>0</v>
      </c>
      <c r="R352" s="7">
        <v>21</v>
      </c>
      <c r="S352" s="7">
        <v>9</v>
      </c>
      <c r="T352" s="7">
        <v>0</v>
      </c>
      <c r="U352" s="7">
        <v>23</v>
      </c>
      <c r="V352" s="7">
        <v>17.63</v>
      </c>
      <c r="W352" s="7">
        <v>9.85</v>
      </c>
      <c r="X352" s="7">
        <v>16.239999999999998</v>
      </c>
      <c r="Y352" s="7" t="s">
        <v>631</v>
      </c>
      <c r="Z352" s="7">
        <v>0</v>
      </c>
      <c r="AA352" s="7">
        <v>30.2</v>
      </c>
      <c r="AB352" s="7">
        <v>6</v>
      </c>
      <c r="AC352" s="7">
        <v>0</v>
      </c>
      <c r="AD352" s="7" t="s">
        <v>81</v>
      </c>
      <c r="AE352" s="8" t="s">
        <v>486</v>
      </c>
      <c r="AF352" s="7" t="s">
        <v>386</v>
      </c>
      <c r="AG352" s="7" t="s">
        <v>476</v>
      </c>
      <c r="AH352" s="7">
        <v>4</v>
      </c>
    </row>
    <row r="353" spans="1:34" x14ac:dyDescent="0.3">
      <c r="A353" s="4" t="s">
        <v>1209</v>
      </c>
      <c r="B353" s="4" t="s">
        <v>1210</v>
      </c>
      <c r="C353" s="4" t="s">
        <v>38</v>
      </c>
      <c r="D353" s="4" t="s">
        <v>654</v>
      </c>
      <c r="E353" s="4" t="s">
        <v>470</v>
      </c>
      <c r="F353" s="4" t="s">
        <v>484</v>
      </c>
      <c r="G353" s="4" t="s">
        <v>491</v>
      </c>
      <c r="H353" s="4" t="s">
        <v>516</v>
      </c>
      <c r="I353" s="4">
        <v>10</v>
      </c>
      <c r="J353" s="4">
        <v>10</v>
      </c>
      <c r="K353" s="4">
        <v>3</v>
      </c>
      <c r="L353" s="4">
        <v>207</v>
      </c>
      <c r="M353" s="4">
        <v>46</v>
      </c>
      <c r="N353" s="4">
        <v>29.57</v>
      </c>
      <c r="O353" s="4">
        <v>155.16999999999999</v>
      </c>
      <c r="P353" s="4">
        <v>0</v>
      </c>
      <c r="Q353" s="4">
        <v>0</v>
      </c>
      <c r="R353" s="4">
        <v>22</v>
      </c>
      <c r="S353" s="4">
        <v>11</v>
      </c>
      <c r="T353" s="4">
        <v>0</v>
      </c>
      <c r="U353" s="4">
        <v>2</v>
      </c>
      <c r="V353" s="4">
        <v>17.36</v>
      </c>
      <c r="W353" s="4">
        <v>9.74</v>
      </c>
      <c r="X353" s="4">
        <v>18.89</v>
      </c>
      <c r="Y353" s="4" t="s">
        <v>595</v>
      </c>
      <c r="Z353" s="4">
        <v>0</v>
      </c>
      <c r="AA353" s="4">
        <v>25.7</v>
      </c>
      <c r="AB353" s="4">
        <v>6</v>
      </c>
      <c r="AC353" s="4">
        <v>0</v>
      </c>
      <c r="AD353" s="4" t="s">
        <v>47</v>
      </c>
      <c r="AE353" s="3" t="s">
        <v>475</v>
      </c>
      <c r="AF353" s="4" t="s">
        <v>181</v>
      </c>
      <c r="AG353" s="4" t="s">
        <v>476</v>
      </c>
      <c r="AH353" s="4">
        <v>0.4</v>
      </c>
    </row>
    <row r="354" spans="1:34" x14ac:dyDescent="0.3">
      <c r="A354" s="7" t="s">
        <v>1211</v>
      </c>
      <c r="B354" s="7" t="s">
        <v>1212</v>
      </c>
      <c r="C354" s="7" t="s">
        <v>46</v>
      </c>
      <c r="D354" s="7" t="s">
        <v>622</v>
      </c>
      <c r="E354" s="7" t="s">
        <v>483</v>
      </c>
      <c r="F354" s="7" t="s">
        <v>484</v>
      </c>
      <c r="G354" s="7" t="s">
        <v>491</v>
      </c>
      <c r="H354" s="7" t="s">
        <v>473</v>
      </c>
      <c r="I354" s="7">
        <v>14</v>
      </c>
      <c r="J354" s="7">
        <v>14</v>
      </c>
      <c r="K354" s="7">
        <v>1</v>
      </c>
      <c r="L354" s="7">
        <v>254</v>
      </c>
      <c r="M354" s="7">
        <v>81</v>
      </c>
      <c r="N354" s="7">
        <v>19.54</v>
      </c>
      <c r="O354" s="7">
        <v>182.1</v>
      </c>
      <c r="P354" s="7">
        <v>0</v>
      </c>
      <c r="Q354" s="7">
        <v>0</v>
      </c>
      <c r="R354" s="7">
        <v>28</v>
      </c>
      <c r="S354" s="7">
        <v>28</v>
      </c>
      <c r="T354" s="7">
        <v>1</v>
      </c>
      <c r="U354" s="7">
        <v>8</v>
      </c>
      <c r="V354" s="7">
        <v>19.739999999999998</v>
      </c>
      <c r="W354" s="7">
        <v>6.81</v>
      </c>
      <c r="X354" s="7">
        <v>19.8</v>
      </c>
      <c r="Y354" s="7" t="s">
        <v>736</v>
      </c>
      <c r="Z354" s="7">
        <v>0</v>
      </c>
      <c r="AA354" s="7">
        <v>41.3</v>
      </c>
      <c r="AB354" s="7">
        <v>11</v>
      </c>
      <c r="AC354" s="7">
        <v>0</v>
      </c>
      <c r="AD354" s="7" t="s">
        <v>28</v>
      </c>
      <c r="AE354" s="8" t="s">
        <v>486</v>
      </c>
      <c r="AF354" s="7" t="s">
        <v>129</v>
      </c>
      <c r="AG354" s="7" t="s">
        <v>476</v>
      </c>
      <c r="AH354" s="7">
        <v>6</v>
      </c>
    </row>
    <row r="355" spans="1:34" x14ac:dyDescent="0.3">
      <c r="A355" s="4" t="s">
        <v>1213</v>
      </c>
      <c r="B355" s="4" t="s">
        <v>1214</v>
      </c>
      <c r="C355" s="4" t="s">
        <v>20</v>
      </c>
      <c r="D355" s="4" t="s">
        <v>523</v>
      </c>
      <c r="E355" s="4" t="s">
        <v>483</v>
      </c>
      <c r="F355" s="4" t="s">
        <v>471</v>
      </c>
      <c r="G355" s="4" t="s">
        <v>491</v>
      </c>
      <c r="H355" s="4" t="s">
        <v>556</v>
      </c>
      <c r="I355" s="4">
        <v>12</v>
      </c>
      <c r="J355" s="4">
        <v>10</v>
      </c>
      <c r="K355" s="4">
        <v>1</v>
      </c>
      <c r="L355" s="4">
        <v>25</v>
      </c>
      <c r="M355" s="4">
        <v>7</v>
      </c>
      <c r="N355" s="4">
        <v>2.78</v>
      </c>
      <c r="O355" s="4">
        <v>102.28</v>
      </c>
      <c r="P355" s="4">
        <v>0</v>
      </c>
      <c r="Q355" s="4">
        <v>0</v>
      </c>
      <c r="R355" s="4">
        <v>2</v>
      </c>
      <c r="S355" s="4">
        <v>1</v>
      </c>
      <c r="T355" s="4">
        <v>2</v>
      </c>
      <c r="U355" s="4">
        <v>18</v>
      </c>
      <c r="V355" s="4">
        <v>20.57</v>
      </c>
      <c r="W355" s="4">
        <v>9.49</v>
      </c>
      <c r="X355" s="4">
        <v>16.59</v>
      </c>
      <c r="Y355" s="4" t="s">
        <v>628</v>
      </c>
      <c r="Z355" s="4">
        <v>0</v>
      </c>
      <c r="AA355" s="4">
        <v>43</v>
      </c>
      <c r="AB355" s="4">
        <v>11</v>
      </c>
      <c r="AC355" s="4">
        <v>0</v>
      </c>
      <c r="AD355" s="4" t="s">
        <v>37</v>
      </c>
      <c r="AE355" s="8" t="s">
        <v>486</v>
      </c>
      <c r="AF355" s="4" t="s">
        <v>103</v>
      </c>
      <c r="AG355" s="4" t="s">
        <v>476</v>
      </c>
      <c r="AH355" s="4">
        <v>0.75</v>
      </c>
    </row>
    <row r="356" spans="1:34" x14ac:dyDescent="0.3">
      <c r="A356" s="7" t="s">
        <v>1215</v>
      </c>
      <c r="B356" s="7" t="s">
        <v>1216</v>
      </c>
      <c r="C356" s="7" t="s">
        <v>46</v>
      </c>
      <c r="D356" s="7" t="s">
        <v>622</v>
      </c>
      <c r="E356" s="7" t="s">
        <v>603</v>
      </c>
      <c r="F356" s="7" t="s">
        <v>490</v>
      </c>
      <c r="G356" s="7" t="s">
        <v>491</v>
      </c>
      <c r="H356" s="7" t="s">
        <v>492</v>
      </c>
      <c r="I356" s="7">
        <v>8</v>
      </c>
      <c r="J356" s="7">
        <v>7</v>
      </c>
      <c r="K356" s="7">
        <v>2</v>
      </c>
      <c r="L356" s="7">
        <v>238</v>
      </c>
      <c r="M356" s="7">
        <v>50</v>
      </c>
      <c r="N356" s="7">
        <v>47.6</v>
      </c>
      <c r="O356" s="7">
        <v>143.96</v>
      </c>
      <c r="P356" s="7">
        <v>0</v>
      </c>
      <c r="Q356" s="7">
        <v>0</v>
      </c>
      <c r="R356" s="7">
        <v>30</v>
      </c>
      <c r="S356" s="7">
        <v>9</v>
      </c>
      <c r="T356" s="7">
        <v>0</v>
      </c>
      <c r="U356" s="7">
        <v>0</v>
      </c>
      <c r="V356" s="7" t="s">
        <v>493</v>
      </c>
      <c r="W356" s="7" t="s">
        <v>493</v>
      </c>
      <c r="X356" s="7" t="s">
        <v>493</v>
      </c>
      <c r="Y356" s="7" t="s">
        <v>493</v>
      </c>
      <c r="Z356" s="7">
        <v>0</v>
      </c>
      <c r="AA356" s="7">
        <v>0</v>
      </c>
      <c r="AB356" s="7">
        <v>2</v>
      </c>
      <c r="AC356" s="7">
        <v>0</v>
      </c>
      <c r="AD356" s="7" t="s">
        <v>46</v>
      </c>
      <c r="AE356" s="8" t="s">
        <v>486</v>
      </c>
      <c r="AF356" s="7" t="s">
        <v>43</v>
      </c>
      <c r="AG356" s="7" t="s">
        <v>476</v>
      </c>
      <c r="AH356" s="7">
        <v>10</v>
      </c>
    </row>
    <row r="357" spans="1:34" x14ac:dyDescent="0.3">
      <c r="A357" s="4" t="s">
        <v>1217</v>
      </c>
      <c r="B357" s="4" t="s">
        <v>1218</v>
      </c>
      <c r="C357" s="4" t="s">
        <v>28</v>
      </c>
      <c r="D357" s="4" t="s">
        <v>779</v>
      </c>
      <c r="E357" s="4" t="s">
        <v>489</v>
      </c>
      <c r="F357" s="4" t="s">
        <v>471</v>
      </c>
      <c r="G357" s="4" t="s">
        <v>472</v>
      </c>
      <c r="H357" s="4" t="s">
        <v>500</v>
      </c>
      <c r="I357" s="4">
        <v>9</v>
      </c>
      <c r="J357" s="4">
        <v>7</v>
      </c>
      <c r="K357" s="4">
        <v>0</v>
      </c>
      <c r="L357" s="4">
        <v>210</v>
      </c>
      <c r="M357" s="4">
        <v>26</v>
      </c>
      <c r="N357" s="4">
        <v>30</v>
      </c>
      <c r="O357" s="4">
        <v>107.06</v>
      </c>
      <c r="P357" s="4">
        <v>0</v>
      </c>
      <c r="Q357" s="4">
        <v>0</v>
      </c>
      <c r="R357" s="4">
        <v>17</v>
      </c>
      <c r="S357" s="4">
        <v>10</v>
      </c>
      <c r="T357" s="4">
        <v>2</v>
      </c>
      <c r="U357" s="4">
        <v>20</v>
      </c>
      <c r="V357" s="4">
        <v>22.15</v>
      </c>
      <c r="W357" s="4">
        <v>7.7</v>
      </c>
      <c r="X357" s="4">
        <v>14.58</v>
      </c>
      <c r="Y357" s="4" t="s">
        <v>501</v>
      </c>
      <c r="Z357" s="4">
        <v>1</v>
      </c>
      <c r="AA357" s="4">
        <v>29.5</v>
      </c>
      <c r="AB357" s="4">
        <v>6</v>
      </c>
      <c r="AC357" s="4">
        <v>0</v>
      </c>
      <c r="AD357" s="4" t="s">
        <v>38</v>
      </c>
      <c r="AE357" s="8" t="s">
        <v>486</v>
      </c>
      <c r="AF357" s="4" t="s">
        <v>377</v>
      </c>
      <c r="AG357" s="4" t="s">
        <v>502</v>
      </c>
      <c r="AH357" s="4">
        <v>0.5</v>
      </c>
    </row>
    <row r="358" spans="1:34" x14ac:dyDescent="0.3">
      <c r="A358" s="7" t="s">
        <v>1219</v>
      </c>
      <c r="B358" s="7" t="s">
        <v>1220</v>
      </c>
      <c r="C358" s="7" t="s">
        <v>28</v>
      </c>
      <c r="D358" s="7" t="s">
        <v>779</v>
      </c>
      <c r="E358" s="7" t="s">
        <v>483</v>
      </c>
      <c r="F358" s="7" t="s">
        <v>490</v>
      </c>
      <c r="G358" s="7" t="s">
        <v>472</v>
      </c>
      <c r="H358" s="7" t="s">
        <v>492</v>
      </c>
      <c r="I358" s="7">
        <v>9</v>
      </c>
      <c r="J358" s="7">
        <v>9</v>
      </c>
      <c r="K358" s="7">
        <v>1</v>
      </c>
      <c r="L358" s="7">
        <v>187</v>
      </c>
      <c r="M358" s="7">
        <v>109</v>
      </c>
      <c r="N358" s="7">
        <v>23.38</v>
      </c>
      <c r="O358" s="7">
        <v>162.22</v>
      </c>
      <c r="P358" s="7">
        <v>0</v>
      </c>
      <c r="Q358" s="7">
        <v>0</v>
      </c>
      <c r="R358" s="7">
        <v>20</v>
      </c>
      <c r="S358" s="7">
        <v>7</v>
      </c>
      <c r="T358" s="7">
        <v>0</v>
      </c>
      <c r="U358" s="7">
        <v>0</v>
      </c>
      <c r="V358" s="7" t="s">
        <v>493</v>
      </c>
      <c r="W358" s="7" t="s">
        <v>493</v>
      </c>
      <c r="X358" s="7" t="s">
        <v>493</v>
      </c>
      <c r="Y358" s="7" t="s">
        <v>493</v>
      </c>
      <c r="Z358" s="7">
        <v>0</v>
      </c>
      <c r="AA358" s="7">
        <v>0</v>
      </c>
      <c r="AB358" s="7">
        <v>9</v>
      </c>
      <c r="AC358" s="7">
        <v>0</v>
      </c>
      <c r="AD358" s="7" t="s">
        <v>37</v>
      </c>
      <c r="AE358" s="8" t="s">
        <v>486</v>
      </c>
      <c r="AF358" s="7" t="s">
        <v>34</v>
      </c>
      <c r="AG358" s="7" t="s">
        <v>476</v>
      </c>
      <c r="AH358" s="7">
        <v>7.5</v>
      </c>
    </row>
    <row r="359" spans="1:34" x14ac:dyDescent="0.3">
      <c r="A359" s="4" t="s">
        <v>1221</v>
      </c>
      <c r="B359" s="4" t="s">
        <v>1222</v>
      </c>
      <c r="C359" s="4" t="s">
        <v>28</v>
      </c>
      <c r="D359" s="4" t="s">
        <v>779</v>
      </c>
      <c r="E359" s="4" t="s">
        <v>489</v>
      </c>
      <c r="F359" s="4" t="s">
        <v>484</v>
      </c>
      <c r="G359" s="4" t="s">
        <v>472</v>
      </c>
      <c r="H359" s="4" t="s">
        <v>480</v>
      </c>
      <c r="I359" s="4">
        <v>14</v>
      </c>
      <c r="J359" s="4">
        <v>12</v>
      </c>
      <c r="K359" s="4">
        <v>0</v>
      </c>
      <c r="L359" s="4">
        <v>370</v>
      </c>
      <c r="M359" s="4">
        <v>116</v>
      </c>
      <c r="N359" s="4">
        <v>30.83</v>
      </c>
      <c r="O359" s="4">
        <v>176.54</v>
      </c>
      <c r="P359" s="4">
        <v>0</v>
      </c>
      <c r="Q359" s="4">
        <v>0</v>
      </c>
      <c r="R359" s="4">
        <v>36</v>
      </c>
      <c r="S359" s="4">
        <v>18</v>
      </c>
      <c r="T359" s="4">
        <v>1</v>
      </c>
      <c r="U359" s="4">
        <v>8</v>
      </c>
      <c r="V359" s="4">
        <v>21.7</v>
      </c>
      <c r="W359" s="4">
        <v>7.75</v>
      </c>
      <c r="X359" s="4">
        <v>14.72</v>
      </c>
      <c r="Y359" s="4" t="s">
        <v>616</v>
      </c>
      <c r="Z359" s="4">
        <v>0</v>
      </c>
      <c r="AA359" s="4">
        <v>43.8</v>
      </c>
      <c r="AB359" s="4">
        <v>2</v>
      </c>
      <c r="AC359" s="4">
        <v>0</v>
      </c>
      <c r="AD359" s="4" t="s">
        <v>28</v>
      </c>
      <c r="AE359" s="8" t="s">
        <v>486</v>
      </c>
      <c r="AF359" s="4" t="s">
        <v>134</v>
      </c>
      <c r="AG359" s="4" t="s">
        <v>476</v>
      </c>
      <c r="AH359" s="4">
        <v>4</v>
      </c>
    </row>
    <row r="360" spans="1:34" x14ac:dyDescent="0.3">
      <c r="A360" s="7" t="s">
        <v>1223</v>
      </c>
      <c r="B360" s="7" t="s">
        <v>1224</v>
      </c>
      <c r="C360" s="7" t="s">
        <v>37</v>
      </c>
      <c r="D360" s="7" t="s">
        <v>555</v>
      </c>
      <c r="E360" s="7" t="s">
        <v>559</v>
      </c>
      <c r="F360" s="7" t="s">
        <v>484</v>
      </c>
      <c r="G360" s="7" t="s">
        <v>491</v>
      </c>
      <c r="H360" s="7" t="s">
        <v>480</v>
      </c>
      <c r="I360" s="7">
        <v>13</v>
      </c>
      <c r="J360" s="7">
        <v>13</v>
      </c>
      <c r="K360" s="7">
        <v>1</v>
      </c>
      <c r="L360" s="7">
        <v>551</v>
      </c>
      <c r="M360" s="7">
        <v>44</v>
      </c>
      <c r="N360" s="7">
        <v>45.92</v>
      </c>
      <c r="O360" s="7">
        <v>170.77</v>
      </c>
      <c r="P360" s="7">
        <v>1</v>
      </c>
      <c r="Q360" s="7">
        <v>0</v>
      </c>
      <c r="R360" s="7">
        <v>49</v>
      </c>
      <c r="S360" s="7">
        <v>39</v>
      </c>
      <c r="T360" s="7">
        <v>1</v>
      </c>
      <c r="U360" s="7">
        <v>18</v>
      </c>
      <c r="V360" s="7">
        <v>20.23</v>
      </c>
      <c r="W360" s="7">
        <v>7.37</v>
      </c>
      <c r="X360" s="7">
        <v>10.32</v>
      </c>
      <c r="Y360" s="7" t="s">
        <v>560</v>
      </c>
      <c r="Z360" s="7">
        <v>0</v>
      </c>
      <c r="AA360" s="7">
        <v>35.1</v>
      </c>
      <c r="AB360" s="7">
        <v>8</v>
      </c>
      <c r="AC360" s="7">
        <v>0</v>
      </c>
      <c r="AD360" s="7" t="s">
        <v>28</v>
      </c>
      <c r="AE360" s="3" t="s">
        <v>475</v>
      </c>
      <c r="AF360" s="7" t="s">
        <v>264</v>
      </c>
      <c r="AG360" s="7" t="s">
        <v>476</v>
      </c>
      <c r="AH360" s="7">
        <v>3</v>
      </c>
    </row>
    <row r="361" spans="1:34" x14ac:dyDescent="0.3">
      <c r="A361" s="4" t="s">
        <v>1225</v>
      </c>
      <c r="B361" s="4" t="s">
        <v>1226</v>
      </c>
      <c r="C361" s="4" t="s">
        <v>46</v>
      </c>
      <c r="D361" s="4" t="s">
        <v>622</v>
      </c>
      <c r="E361" s="4" t="s">
        <v>483</v>
      </c>
      <c r="F361" s="4" t="s">
        <v>490</v>
      </c>
      <c r="G361" s="4" t="s">
        <v>491</v>
      </c>
      <c r="H361" s="4" t="s">
        <v>492</v>
      </c>
      <c r="I361" s="4">
        <v>12</v>
      </c>
      <c r="J361" s="4">
        <v>11</v>
      </c>
      <c r="K361" s="4">
        <v>1</v>
      </c>
      <c r="L361" s="4">
        <v>461</v>
      </c>
      <c r="M361" s="4">
        <v>77</v>
      </c>
      <c r="N361" s="4">
        <v>46.1</v>
      </c>
      <c r="O361" s="4">
        <v>115.23</v>
      </c>
      <c r="P361" s="4">
        <v>0</v>
      </c>
      <c r="Q361" s="4">
        <v>0</v>
      </c>
      <c r="R361" s="4">
        <v>40</v>
      </c>
      <c r="S361" s="4">
        <v>35</v>
      </c>
      <c r="T361" s="4">
        <v>0</v>
      </c>
      <c r="U361" s="4">
        <v>0</v>
      </c>
      <c r="V361" s="4" t="s">
        <v>493</v>
      </c>
      <c r="W361" s="4" t="s">
        <v>493</v>
      </c>
      <c r="X361" s="4" t="s">
        <v>493</v>
      </c>
      <c r="Y361" s="4" t="s">
        <v>493</v>
      </c>
      <c r="Z361" s="4">
        <v>0</v>
      </c>
      <c r="AA361" s="4">
        <v>0</v>
      </c>
      <c r="AB361" s="4">
        <v>2</v>
      </c>
      <c r="AC361" s="4">
        <v>0</v>
      </c>
      <c r="AD361" s="4" t="s">
        <v>81</v>
      </c>
      <c r="AE361" s="8" t="s">
        <v>486</v>
      </c>
      <c r="AF361" s="4" t="s">
        <v>171</v>
      </c>
      <c r="AG361" s="4" t="s">
        <v>476</v>
      </c>
      <c r="AH361" s="4">
        <v>18</v>
      </c>
    </row>
    <row r="362" spans="1:34" x14ac:dyDescent="0.3">
      <c r="A362" s="7" t="s">
        <v>1227</v>
      </c>
      <c r="B362" s="7" t="s">
        <v>1228</v>
      </c>
      <c r="C362" s="7" t="s">
        <v>47</v>
      </c>
      <c r="D362" s="7" t="s">
        <v>717</v>
      </c>
      <c r="E362" s="7" t="s">
        <v>483</v>
      </c>
      <c r="F362" s="7" t="s">
        <v>484</v>
      </c>
      <c r="G362" s="7" t="s">
        <v>472</v>
      </c>
      <c r="H362" s="7" t="s">
        <v>514</v>
      </c>
      <c r="I362" s="7">
        <v>11</v>
      </c>
      <c r="J362" s="7">
        <v>10</v>
      </c>
      <c r="K362" s="7">
        <v>3</v>
      </c>
      <c r="L362" s="7">
        <v>187</v>
      </c>
      <c r="M362" s="7">
        <v>60</v>
      </c>
      <c r="N362" s="7">
        <v>26.71</v>
      </c>
      <c r="O362" s="7">
        <v>153.07</v>
      </c>
      <c r="P362" s="7">
        <v>0</v>
      </c>
      <c r="Q362" s="7">
        <v>0</v>
      </c>
      <c r="R362" s="7">
        <v>24</v>
      </c>
      <c r="S362" s="7">
        <v>11</v>
      </c>
      <c r="T362" s="7">
        <v>0</v>
      </c>
      <c r="U362" s="7">
        <v>5</v>
      </c>
      <c r="V362" s="7">
        <v>15.55</v>
      </c>
      <c r="W362" s="7">
        <v>10.28</v>
      </c>
      <c r="X362" s="7">
        <v>16.78</v>
      </c>
      <c r="Y362" s="7" t="s">
        <v>572</v>
      </c>
      <c r="Z362" s="7">
        <v>0</v>
      </c>
      <c r="AA362" s="7">
        <v>30.9</v>
      </c>
      <c r="AB362" s="7">
        <v>9</v>
      </c>
      <c r="AC362" s="7">
        <v>0</v>
      </c>
      <c r="AD362" s="7" t="s">
        <v>37</v>
      </c>
      <c r="AE362" s="8" t="s">
        <v>486</v>
      </c>
      <c r="AF362" s="7" t="s">
        <v>274</v>
      </c>
      <c r="AG362" s="7" t="s">
        <v>476</v>
      </c>
      <c r="AH362" s="7">
        <v>0.4</v>
      </c>
    </row>
    <row r="363" spans="1:34" x14ac:dyDescent="0.3">
      <c r="A363" s="4" t="s">
        <v>1229</v>
      </c>
      <c r="B363" s="4" t="s">
        <v>1230</v>
      </c>
      <c r="C363" s="4" t="s">
        <v>19</v>
      </c>
      <c r="D363" s="4" t="s">
        <v>469</v>
      </c>
      <c r="E363" s="4" t="s">
        <v>483</v>
      </c>
      <c r="F363" s="4" t="s">
        <v>484</v>
      </c>
      <c r="G363" s="4" t="s">
        <v>491</v>
      </c>
      <c r="H363" s="4" t="s">
        <v>509</v>
      </c>
      <c r="I363" s="4">
        <v>10</v>
      </c>
      <c r="J363" s="4">
        <v>8</v>
      </c>
      <c r="K363" s="4">
        <v>1</v>
      </c>
      <c r="L363" s="4">
        <v>248</v>
      </c>
      <c r="M363" s="4">
        <v>53</v>
      </c>
      <c r="N363" s="4">
        <v>35.43</v>
      </c>
      <c r="O363" s="4">
        <v>181.57</v>
      </c>
      <c r="P363" s="4">
        <v>0</v>
      </c>
      <c r="Q363" s="4">
        <v>0</v>
      </c>
      <c r="R363" s="4">
        <v>29</v>
      </c>
      <c r="S363" s="4">
        <v>29</v>
      </c>
      <c r="T363" s="4">
        <v>0</v>
      </c>
      <c r="U363" s="4">
        <v>14</v>
      </c>
      <c r="V363" s="4">
        <v>25</v>
      </c>
      <c r="W363" s="4">
        <v>10.06</v>
      </c>
      <c r="X363" s="4">
        <v>18.3</v>
      </c>
      <c r="Y363" s="4" t="s">
        <v>692</v>
      </c>
      <c r="Z363" s="4">
        <v>0</v>
      </c>
      <c r="AA363" s="4">
        <v>33.4</v>
      </c>
      <c r="AB363" s="4">
        <v>9</v>
      </c>
      <c r="AC363" s="4">
        <v>0</v>
      </c>
      <c r="AD363" s="4" t="s">
        <v>81</v>
      </c>
      <c r="AE363" s="8" t="s">
        <v>486</v>
      </c>
      <c r="AF363" s="4" t="s">
        <v>368</v>
      </c>
      <c r="AG363" s="4" t="s">
        <v>476</v>
      </c>
      <c r="AH363" s="4">
        <v>6</v>
      </c>
    </row>
    <row r="364" spans="1:34" x14ac:dyDescent="0.3">
      <c r="A364" s="7" t="s">
        <v>1231</v>
      </c>
      <c r="B364" s="7" t="s">
        <v>1232</v>
      </c>
      <c r="C364" s="7" t="s">
        <v>55</v>
      </c>
      <c r="D364" s="7" t="s">
        <v>588</v>
      </c>
      <c r="E364" s="7" t="s">
        <v>559</v>
      </c>
      <c r="F364" s="7" t="s">
        <v>490</v>
      </c>
      <c r="G364" s="7" t="s">
        <v>472</v>
      </c>
      <c r="H364" s="7" t="s">
        <v>492</v>
      </c>
      <c r="I364" s="7">
        <v>11</v>
      </c>
      <c r="J364" s="7">
        <v>9</v>
      </c>
      <c r="K364" s="7">
        <v>2</v>
      </c>
      <c r="L364" s="7">
        <v>154</v>
      </c>
      <c r="M364" s="7">
        <v>35</v>
      </c>
      <c r="N364" s="7">
        <v>22</v>
      </c>
      <c r="O364" s="7">
        <v>163.15</v>
      </c>
      <c r="P364" s="7">
        <v>0</v>
      </c>
      <c r="Q364" s="7">
        <v>0</v>
      </c>
      <c r="R364" s="7">
        <v>20</v>
      </c>
      <c r="S364" s="7">
        <v>6</v>
      </c>
      <c r="T364" s="7">
        <v>0</v>
      </c>
      <c r="U364" s="7">
        <v>0</v>
      </c>
      <c r="V364" s="7" t="s">
        <v>493</v>
      </c>
      <c r="W364" s="7" t="s">
        <v>493</v>
      </c>
      <c r="X364" s="7" t="s">
        <v>493</v>
      </c>
      <c r="Y364" s="7" t="s">
        <v>493</v>
      </c>
      <c r="Z364" s="7">
        <v>0</v>
      </c>
      <c r="AA364" s="7">
        <v>0</v>
      </c>
      <c r="AB364" s="7">
        <v>3</v>
      </c>
      <c r="AC364" s="7">
        <v>0</v>
      </c>
      <c r="AD364" s="7" t="s">
        <v>37</v>
      </c>
      <c r="AE364" s="3" t="s">
        <v>475</v>
      </c>
      <c r="AF364" s="7" t="s">
        <v>343</v>
      </c>
      <c r="AG364" s="7" t="s">
        <v>476</v>
      </c>
      <c r="AH364" s="7">
        <v>15</v>
      </c>
    </row>
    <row r="365" spans="1:34" x14ac:dyDescent="0.3">
      <c r="A365" s="4" t="s">
        <v>1233</v>
      </c>
      <c r="B365" s="4" t="s">
        <v>1234</v>
      </c>
      <c r="C365" s="4" t="s">
        <v>38</v>
      </c>
      <c r="D365" s="4" t="s">
        <v>654</v>
      </c>
      <c r="E365" s="4" t="s">
        <v>479</v>
      </c>
      <c r="F365" s="4" t="s">
        <v>490</v>
      </c>
      <c r="G365" s="4" t="s">
        <v>491</v>
      </c>
      <c r="H365" s="4" t="s">
        <v>492</v>
      </c>
      <c r="I365" s="4">
        <v>10</v>
      </c>
      <c r="J365" s="4">
        <v>8</v>
      </c>
      <c r="K365" s="4">
        <v>3</v>
      </c>
      <c r="L365" s="4">
        <v>261</v>
      </c>
      <c r="M365" s="4">
        <v>65</v>
      </c>
      <c r="N365" s="4">
        <v>52.2</v>
      </c>
      <c r="O365" s="4">
        <v>128.86000000000001</v>
      </c>
      <c r="P365" s="4">
        <v>0</v>
      </c>
      <c r="Q365" s="4">
        <v>0</v>
      </c>
      <c r="R365" s="4">
        <v>35</v>
      </c>
      <c r="S365" s="4">
        <v>13</v>
      </c>
      <c r="T365" s="4">
        <v>0</v>
      </c>
      <c r="U365" s="4">
        <v>0</v>
      </c>
      <c r="V365" s="4" t="s">
        <v>493</v>
      </c>
      <c r="W365" s="4" t="s">
        <v>493</v>
      </c>
      <c r="X365" s="4" t="s">
        <v>493</v>
      </c>
      <c r="Y365" s="4" t="s">
        <v>493</v>
      </c>
      <c r="Z365" s="4">
        <v>0</v>
      </c>
      <c r="AA365" s="4">
        <v>0</v>
      </c>
      <c r="AB365" s="4">
        <v>3</v>
      </c>
      <c r="AC365" s="4">
        <v>0</v>
      </c>
      <c r="AD365" s="4" t="s">
        <v>28</v>
      </c>
      <c r="AE365" s="3" t="s">
        <v>475</v>
      </c>
      <c r="AF365" s="4" t="s">
        <v>159</v>
      </c>
      <c r="AG365" s="4" t="s">
        <v>476</v>
      </c>
      <c r="AH365" s="4">
        <v>0.4</v>
      </c>
    </row>
    <row r="366" spans="1:34" x14ac:dyDescent="0.3">
      <c r="A366" s="7" t="s">
        <v>1235</v>
      </c>
      <c r="B366" s="7" t="s">
        <v>1236</v>
      </c>
      <c r="C366" s="7" t="s">
        <v>46</v>
      </c>
      <c r="D366" s="7" t="s">
        <v>622</v>
      </c>
      <c r="E366" s="7" t="s">
        <v>489</v>
      </c>
      <c r="F366" s="7" t="s">
        <v>490</v>
      </c>
      <c r="G366" s="7" t="s">
        <v>491</v>
      </c>
      <c r="H366" s="7" t="s">
        <v>492</v>
      </c>
      <c r="I366" s="7">
        <v>13</v>
      </c>
      <c r="J366" s="7">
        <v>12</v>
      </c>
      <c r="K366" s="7">
        <v>3</v>
      </c>
      <c r="L366" s="7">
        <v>175</v>
      </c>
      <c r="M366" s="7">
        <v>91</v>
      </c>
      <c r="N366" s="7">
        <v>19.440000000000001</v>
      </c>
      <c r="O366" s="7">
        <v>152.94999999999999</v>
      </c>
      <c r="P366" s="7">
        <v>0</v>
      </c>
      <c r="Q366" s="7">
        <v>0</v>
      </c>
      <c r="R366" s="7">
        <v>17</v>
      </c>
      <c r="S366" s="7">
        <v>10</v>
      </c>
      <c r="T366" s="7">
        <v>0</v>
      </c>
      <c r="U366" s="7">
        <v>0</v>
      </c>
      <c r="V366" s="7" t="s">
        <v>493</v>
      </c>
      <c r="W366" s="7" t="s">
        <v>493</v>
      </c>
      <c r="X366" s="7" t="s">
        <v>493</v>
      </c>
      <c r="Y366" s="7" t="s">
        <v>493</v>
      </c>
      <c r="Z366" s="7">
        <v>0</v>
      </c>
      <c r="AA366" s="7">
        <v>0</v>
      </c>
      <c r="AB366" s="7">
        <v>11</v>
      </c>
      <c r="AC366" s="7">
        <v>0</v>
      </c>
      <c r="AD366" s="7" t="s">
        <v>55</v>
      </c>
      <c r="AE366" s="8" t="s">
        <v>486</v>
      </c>
      <c r="AF366" s="7" t="s">
        <v>176</v>
      </c>
      <c r="AG366" s="7" t="s">
        <v>476</v>
      </c>
      <c r="AH366" s="7">
        <v>7.5</v>
      </c>
    </row>
    <row r="367" spans="1:34" x14ac:dyDescent="0.3">
      <c r="A367" s="4" t="s">
        <v>1237</v>
      </c>
      <c r="B367" s="4" t="s">
        <v>1238</v>
      </c>
      <c r="C367" s="4" t="s">
        <v>38</v>
      </c>
      <c r="D367" s="4" t="s">
        <v>654</v>
      </c>
      <c r="E367" s="4" t="s">
        <v>589</v>
      </c>
      <c r="F367" s="4" t="s">
        <v>471</v>
      </c>
      <c r="G367" s="4" t="s">
        <v>472</v>
      </c>
      <c r="H367" s="4" t="s">
        <v>556</v>
      </c>
      <c r="I367" s="4">
        <v>11</v>
      </c>
      <c r="J367" s="4">
        <v>11</v>
      </c>
      <c r="K367" s="4">
        <v>0</v>
      </c>
      <c r="L367" s="4">
        <v>282</v>
      </c>
      <c r="M367" s="4">
        <v>36</v>
      </c>
      <c r="N367" s="4">
        <v>25.64</v>
      </c>
      <c r="O367" s="4">
        <v>126.65</v>
      </c>
      <c r="P367" s="4">
        <v>0</v>
      </c>
      <c r="Q367" s="4">
        <v>0</v>
      </c>
      <c r="R367" s="4">
        <v>23</v>
      </c>
      <c r="S367" s="4">
        <v>14</v>
      </c>
      <c r="T367" s="4">
        <v>1</v>
      </c>
      <c r="U367" s="4">
        <v>12</v>
      </c>
      <c r="V367" s="4">
        <v>15</v>
      </c>
      <c r="W367" s="4">
        <v>8.02</v>
      </c>
      <c r="X367" s="4">
        <v>10.6</v>
      </c>
      <c r="Y367" s="4" t="s">
        <v>590</v>
      </c>
      <c r="Z367" s="4">
        <v>0</v>
      </c>
      <c r="AA367" s="4">
        <v>40.4</v>
      </c>
      <c r="AB367" s="4">
        <v>4</v>
      </c>
      <c r="AC367" s="4">
        <v>0</v>
      </c>
      <c r="AD367" s="4" t="s">
        <v>19</v>
      </c>
      <c r="AE367" s="3" t="s">
        <v>475</v>
      </c>
      <c r="AF367" s="4" t="s">
        <v>147</v>
      </c>
      <c r="AG367" s="4" t="s">
        <v>476</v>
      </c>
      <c r="AH367" s="4">
        <v>7.5</v>
      </c>
    </row>
    <row r="368" spans="1:34" x14ac:dyDescent="0.3">
      <c r="A368" s="7" t="s">
        <v>1239</v>
      </c>
      <c r="B368" s="7" t="s">
        <v>1240</v>
      </c>
      <c r="C368" s="7" t="s">
        <v>142</v>
      </c>
      <c r="D368" s="7" t="s">
        <v>684</v>
      </c>
      <c r="E368" s="7" t="s">
        <v>483</v>
      </c>
      <c r="F368" s="7" t="s">
        <v>484</v>
      </c>
      <c r="G368" s="7" t="s">
        <v>472</v>
      </c>
      <c r="H368" s="7" t="s">
        <v>509</v>
      </c>
      <c r="I368" s="7">
        <v>13</v>
      </c>
      <c r="J368" s="7">
        <v>12</v>
      </c>
      <c r="K368" s="7">
        <v>1</v>
      </c>
      <c r="L368" s="7">
        <v>523</v>
      </c>
      <c r="M368" s="7">
        <v>88</v>
      </c>
      <c r="N368" s="7">
        <v>47.55</v>
      </c>
      <c r="O368" s="7">
        <v>129.71</v>
      </c>
      <c r="P368" s="7">
        <v>1</v>
      </c>
      <c r="Q368" s="7">
        <v>0</v>
      </c>
      <c r="R368" s="7">
        <v>61</v>
      </c>
      <c r="S368" s="7">
        <v>34</v>
      </c>
      <c r="T368" s="7">
        <v>0</v>
      </c>
      <c r="U368" s="7">
        <v>12</v>
      </c>
      <c r="V368" s="7">
        <v>22.7</v>
      </c>
      <c r="W368" s="7">
        <v>8.8000000000000007</v>
      </c>
      <c r="X368" s="7">
        <v>17.95</v>
      </c>
      <c r="Y368" s="7" t="s">
        <v>532</v>
      </c>
      <c r="Z368" s="7">
        <v>0</v>
      </c>
      <c r="AA368" s="7">
        <v>46.7</v>
      </c>
      <c r="AB368" s="7">
        <v>10</v>
      </c>
      <c r="AC368" s="7">
        <v>0</v>
      </c>
      <c r="AD368" s="7" t="s">
        <v>38</v>
      </c>
      <c r="AE368" s="8" t="s">
        <v>486</v>
      </c>
      <c r="AF368" s="7" t="s">
        <v>406</v>
      </c>
      <c r="AG368" s="7" t="s">
        <v>476</v>
      </c>
      <c r="AH368" s="7">
        <v>5</v>
      </c>
    </row>
    <row r="369" spans="1:34" x14ac:dyDescent="0.3">
      <c r="A369" s="4" t="s">
        <v>1241</v>
      </c>
      <c r="B369" s="4" t="s">
        <v>1242</v>
      </c>
      <c r="C369" s="4" t="s">
        <v>142</v>
      </c>
      <c r="D369" s="4" t="s">
        <v>684</v>
      </c>
      <c r="E369" s="4" t="s">
        <v>470</v>
      </c>
      <c r="F369" s="4" t="s">
        <v>471</v>
      </c>
      <c r="G369" s="4" t="s">
        <v>472</v>
      </c>
      <c r="H369" s="4" t="s">
        <v>556</v>
      </c>
      <c r="I369" s="4">
        <v>10</v>
      </c>
      <c r="J369" s="4">
        <v>8</v>
      </c>
      <c r="K369" s="4">
        <v>3</v>
      </c>
      <c r="L369" s="4">
        <v>220</v>
      </c>
      <c r="M369" s="4">
        <v>27</v>
      </c>
      <c r="N369" s="4">
        <v>44</v>
      </c>
      <c r="O369" s="4">
        <v>122.89</v>
      </c>
      <c r="P369" s="4">
        <v>0</v>
      </c>
      <c r="Q369" s="4">
        <v>0</v>
      </c>
      <c r="R369" s="4">
        <v>18</v>
      </c>
      <c r="S369" s="4">
        <v>11</v>
      </c>
      <c r="T369" s="4">
        <v>2</v>
      </c>
      <c r="U369" s="4">
        <v>11</v>
      </c>
      <c r="V369" s="4">
        <v>24.8</v>
      </c>
      <c r="W369" s="4">
        <v>10.119999999999999</v>
      </c>
      <c r="X369" s="4">
        <v>11.64</v>
      </c>
      <c r="Y369" s="4" t="s">
        <v>799</v>
      </c>
      <c r="Z369" s="4">
        <v>0</v>
      </c>
      <c r="AA369" s="4">
        <v>37.9</v>
      </c>
      <c r="AB369" s="4">
        <v>5</v>
      </c>
      <c r="AC369" s="4">
        <v>0</v>
      </c>
      <c r="AD369" s="4" t="s">
        <v>37</v>
      </c>
      <c r="AE369" s="3" t="s">
        <v>475</v>
      </c>
      <c r="AF369" s="4" t="s">
        <v>357</v>
      </c>
      <c r="AG369" s="4" t="s">
        <v>476</v>
      </c>
      <c r="AH369" s="4">
        <v>0.2</v>
      </c>
    </row>
    <row r="370" spans="1:34" x14ac:dyDescent="0.3">
      <c r="A370" s="7" t="s">
        <v>1243</v>
      </c>
      <c r="B370" s="7" t="s">
        <v>1244</v>
      </c>
      <c r="C370" s="7" t="s">
        <v>37</v>
      </c>
      <c r="D370" s="7" t="s">
        <v>555</v>
      </c>
      <c r="E370" s="7" t="s">
        <v>483</v>
      </c>
      <c r="F370" s="7" t="s">
        <v>471</v>
      </c>
      <c r="G370" s="7" t="s">
        <v>491</v>
      </c>
      <c r="H370" s="7" t="s">
        <v>556</v>
      </c>
      <c r="I370" s="7">
        <v>12</v>
      </c>
      <c r="J370" s="7">
        <v>10</v>
      </c>
      <c r="K370" s="7">
        <v>0</v>
      </c>
      <c r="L370" s="7">
        <v>21</v>
      </c>
      <c r="M370" s="7">
        <v>33</v>
      </c>
      <c r="N370" s="7">
        <v>2.1</v>
      </c>
      <c r="O370" s="7">
        <v>121.91</v>
      </c>
      <c r="P370" s="7">
        <v>0</v>
      </c>
      <c r="Q370" s="7">
        <v>0</v>
      </c>
      <c r="R370" s="7">
        <v>1</v>
      </c>
      <c r="S370" s="7">
        <v>1</v>
      </c>
      <c r="T370" s="7">
        <v>3</v>
      </c>
      <c r="U370" s="7">
        <v>4</v>
      </c>
      <c r="V370" s="7">
        <v>26.93</v>
      </c>
      <c r="W370" s="7">
        <v>8.42</v>
      </c>
      <c r="X370" s="7">
        <v>10.94</v>
      </c>
      <c r="Y370" s="7" t="s">
        <v>557</v>
      </c>
      <c r="Z370" s="7">
        <v>0</v>
      </c>
      <c r="AA370" s="7">
        <v>33.799999999999997</v>
      </c>
      <c r="AB370" s="7">
        <v>9</v>
      </c>
      <c r="AC370" s="7">
        <v>0</v>
      </c>
      <c r="AD370" s="7" t="s">
        <v>46</v>
      </c>
      <c r="AE370" s="3" t="s">
        <v>475</v>
      </c>
      <c r="AF370" s="7" t="s">
        <v>323</v>
      </c>
      <c r="AG370" s="7" t="s">
        <v>476</v>
      </c>
      <c r="AH370" s="7">
        <v>18</v>
      </c>
    </row>
    <row r="371" spans="1:34" x14ac:dyDescent="0.3">
      <c r="A371" s="4" t="s">
        <v>1245</v>
      </c>
      <c r="B371" s="4" t="s">
        <v>1246</v>
      </c>
      <c r="C371" s="4" t="s">
        <v>37</v>
      </c>
      <c r="D371" s="4" t="s">
        <v>555</v>
      </c>
      <c r="E371" s="4" t="s">
        <v>489</v>
      </c>
      <c r="F371" s="4" t="s">
        <v>471</v>
      </c>
      <c r="G371" s="4" t="s">
        <v>472</v>
      </c>
      <c r="H371" s="4" t="s">
        <v>500</v>
      </c>
      <c r="I371" s="4">
        <v>9</v>
      </c>
      <c r="J371" s="4">
        <v>7</v>
      </c>
      <c r="K371" s="4">
        <v>0</v>
      </c>
      <c r="L371" s="4">
        <v>210</v>
      </c>
      <c r="M371" s="4">
        <v>26</v>
      </c>
      <c r="N371" s="4">
        <v>30</v>
      </c>
      <c r="O371" s="4">
        <v>107.06</v>
      </c>
      <c r="P371" s="4">
        <v>0</v>
      </c>
      <c r="Q371" s="4">
        <v>0</v>
      </c>
      <c r="R371" s="4">
        <v>17</v>
      </c>
      <c r="S371" s="4">
        <v>10</v>
      </c>
      <c r="T371" s="4">
        <v>2</v>
      </c>
      <c r="U371" s="4">
        <v>20</v>
      </c>
      <c r="V371" s="4">
        <v>22.15</v>
      </c>
      <c r="W371" s="4">
        <v>7.7</v>
      </c>
      <c r="X371" s="4">
        <v>14.58</v>
      </c>
      <c r="Y371" s="4" t="s">
        <v>501</v>
      </c>
      <c r="Z371" s="4">
        <v>1</v>
      </c>
      <c r="AA371" s="4">
        <v>29.5</v>
      </c>
      <c r="AB371" s="4">
        <v>6</v>
      </c>
      <c r="AC371" s="4">
        <v>0</v>
      </c>
      <c r="AD371" s="4" t="s">
        <v>38</v>
      </c>
      <c r="AE371" s="8" t="s">
        <v>486</v>
      </c>
      <c r="AF371" s="4" t="s">
        <v>377</v>
      </c>
      <c r="AG371" s="4" t="s">
        <v>502</v>
      </c>
      <c r="AH371" s="4">
        <v>0.5</v>
      </c>
    </row>
    <row r="372" spans="1:34" x14ac:dyDescent="0.3">
      <c r="A372" s="7" t="s">
        <v>1247</v>
      </c>
      <c r="B372" s="7" t="s">
        <v>1248</v>
      </c>
      <c r="C372" s="7" t="s">
        <v>28</v>
      </c>
      <c r="D372" s="7" t="s">
        <v>779</v>
      </c>
      <c r="E372" s="7" t="s">
        <v>483</v>
      </c>
      <c r="F372" s="7" t="s">
        <v>490</v>
      </c>
      <c r="G372" s="7" t="s">
        <v>472</v>
      </c>
      <c r="H372" s="7" t="s">
        <v>492</v>
      </c>
      <c r="I372" s="7">
        <v>14</v>
      </c>
      <c r="J372" s="7">
        <v>13</v>
      </c>
      <c r="K372" s="7">
        <v>3</v>
      </c>
      <c r="L372" s="7">
        <v>307</v>
      </c>
      <c r="M372" s="7">
        <v>39</v>
      </c>
      <c r="N372" s="7">
        <v>30.7</v>
      </c>
      <c r="O372" s="7">
        <v>127.2</v>
      </c>
      <c r="P372" s="7">
        <v>0</v>
      </c>
      <c r="Q372" s="7">
        <v>0</v>
      </c>
      <c r="R372" s="7">
        <v>31</v>
      </c>
      <c r="S372" s="7">
        <v>26</v>
      </c>
      <c r="T372" s="7">
        <v>0</v>
      </c>
      <c r="U372" s="7">
        <v>0</v>
      </c>
      <c r="V372" s="7" t="s">
        <v>493</v>
      </c>
      <c r="W372" s="7" t="s">
        <v>493</v>
      </c>
      <c r="X372" s="7" t="s">
        <v>493</v>
      </c>
      <c r="Y372" s="7" t="s">
        <v>493</v>
      </c>
      <c r="Z372" s="7">
        <v>0</v>
      </c>
      <c r="AA372" s="7">
        <v>0</v>
      </c>
      <c r="AB372" s="7">
        <v>7</v>
      </c>
      <c r="AC372" s="7">
        <v>0</v>
      </c>
      <c r="AD372" s="7" t="s">
        <v>142</v>
      </c>
      <c r="AE372" s="8" t="s">
        <v>486</v>
      </c>
      <c r="AF372" s="7" t="s">
        <v>279</v>
      </c>
      <c r="AG372" s="7" t="s">
        <v>476</v>
      </c>
      <c r="AH372" s="7">
        <v>0.75</v>
      </c>
    </row>
    <row r="373" spans="1:34" x14ac:dyDescent="0.3">
      <c r="A373" s="4" t="s">
        <v>1249</v>
      </c>
      <c r="B373" s="4" t="s">
        <v>1250</v>
      </c>
      <c r="C373" s="4" t="s">
        <v>37</v>
      </c>
      <c r="D373" s="4" t="s">
        <v>555</v>
      </c>
      <c r="E373" s="4" t="s">
        <v>483</v>
      </c>
      <c r="F373" s="4" t="s">
        <v>490</v>
      </c>
      <c r="G373" s="4" t="s">
        <v>491</v>
      </c>
      <c r="H373" s="4" t="s">
        <v>492</v>
      </c>
      <c r="I373" s="4">
        <v>13</v>
      </c>
      <c r="J373" s="4">
        <v>11</v>
      </c>
      <c r="K373" s="4">
        <v>3</v>
      </c>
      <c r="L373" s="4">
        <v>405</v>
      </c>
      <c r="M373" s="4">
        <v>118</v>
      </c>
      <c r="N373" s="4">
        <v>50.62</v>
      </c>
      <c r="O373" s="4">
        <v>174.41</v>
      </c>
      <c r="P373" s="4">
        <v>0</v>
      </c>
      <c r="Q373" s="4">
        <v>0</v>
      </c>
      <c r="R373" s="4">
        <v>36</v>
      </c>
      <c r="S373" s="4">
        <v>28</v>
      </c>
      <c r="T373" s="4">
        <v>1</v>
      </c>
      <c r="U373" s="4">
        <v>0</v>
      </c>
      <c r="V373" s="4" t="s">
        <v>493</v>
      </c>
      <c r="W373" s="4" t="s">
        <v>493</v>
      </c>
      <c r="X373" s="4" t="s">
        <v>493</v>
      </c>
      <c r="Y373" s="4" t="s">
        <v>493</v>
      </c>
      <c r="Z373" s="4">
        <v>0</v>
      </c>
      <c r="AA373" s="4">
        <v>0</v>
      </c>
      <c r="AB373" s="4">
        <v>8</v>
      </c>
      <c r="AC373" s="4">
        <v>0</v>
      </c>
      <c r="AD373" s="4" t="s">
        <v>28</v>
      </c>
      <c r="AE373" s="8" t="s">
        <v>486</v>
      </c>
      <c r="AF373" s="4" t="s">
        <v>52</v>
      </c>
      <c r="AG373" s="4" t="s">
        <v>476</v>
      </c>
      <c r="AH373" s="4">
        <v>15</v>
      </c>
    </row>
    <row r="374" spans="1:34" x14ac:dyDescent="0.3">
      <c r="A374" s="7" t="s">
        <v>1251</v>
      </c>
      <c r="B374" s="7" t="s">
        <v>1252</v>
      </c>
      <c r="C374" s="7" t="s">
        <v>81</v>
      </c>
      <c r="D374" s="7" t="s">
        <v>750</v>
      </c>
      <c r="E374" s="7" t="s">
        <v>483</v>
      </c>
      <c r="F374" s="7" t="s">
        <v>484</v>
      </c>
      <c r="G374" s="7" t="s">
        <v>472</v>
      </c>
      <c r="H374" s="7" t="s">
        <v>516</v>
      </c>
      <c r="I374" s="7">
        <v>9</v>
      </c>
      <c r="J374" s="7">
        <v>7</v>
      </c>
      <c r="K374" s="7">
        <v>3</v>
      </c>
      <c r="L374" s="7">
        <v>167</v>
      </c>
      <c r="M374" s="7">
        <v>110</v>
      </c>
      <c r="N374" s="7">
        <v>41.75</v>
      </c>
      <c r="O374" s="7">
        <v>111.25</v>
      </c>
      <c r="P374" s="7">
        <v>0</v>
      </c>
      <c r="Q374" s="7">
        <v>0</v>
      </c>
      <c r="R374" s="7">
        <v>21</v>
      </c>
      <c r="S374" s="7">
        <v>6</v>
      </c>
      <c r="T374" s="7">
        <v>0</v>
      </c>
      <c r="U374" s="7">
        <v>8</v>
      </c>
      <c r="V374" s="7">
        <v>15.6</v>
      </c>
      <c r="W374" s="7">
        <v>9.41</v>
      </c>
      <c r="X374" s="7">
        <v>11.55</v>
      </c>
      <c r="Y374" s="7" t="s">
        <v>541</v>
      </c>
      <c r="Z374" s="7">
        <v>0</v>
      </c>
      <c r="AA374" s="7">
        <v>23.3</v>
      </c>
      <c r="AB374" s="7">
        <v>4</v>
      </c>
      <c r="AC374" s="7">
        <v>0</v>
      </c>
      <c r="AD374" s="7" t="s">
        <v>47</v>
      </c>
      <c r="AE374" s="3" t="s">
        <v>475</v>
      </c>
      <c r="AF374" s="7" t="s">
        <v>298</v>
      </c>
      <c r="AG374" s="7" t="s">
        <v>476</v>
      </c>
      <c r="AH374" s="7">
        <v>4</v>
      </c>
    </row>
    <row r="375" spans="1:34" x14ac:dyDescent="0.3">
      <c r="A375" s="4" t="s">
        <v>1253</v>
      </c>
      <c r="B375" s="4" t="s">
        <v>1254</v>
      </c>
      <c r="C375" s="4" t="s">
        <v>28</v>
      </c>
      <c r="D375" s="4" t="s">
        <v>779</v>
      </c>
      <c r="E375" s="4" t="s">
        <v>543</v>
      </c>
      <c r="F375" s="4" t="s">
        <v>490</v>
      </c>
      <c r="G375" s="4" t="s">
        <v>491</v>
      </c>
      <c r="H375" s="4" t="s">
        <v>492</v>
      </c>
      <c r="I375" s="4">
        <v>9</v>
      </c>
      <c r="J375" s="4">
        <v>9</v>
      </c>
      <c r="K375" s="4">
        <v>3</v>
      </c>
      <c r="L375" s="4">
        <v>173</v>
      </c>
      <c r="M375" s="4">
        <v>99</v>
      </c>
      <c r="N375" s="4">
        <v>28.83</v>
      </c>
      <c r="O375" s="4">
        <v>126.79</v>
      </c>
      <c r="P375" s="4">
        <v>0</v>
      </c>
      <c r="Q375" s="4">
        <v>0</v>
      </c>
      <c r="R375" s="4">
        <v>22</v>
      </c>
      <c r="S375" s="4">
        <v>19</v>
      </c>
      <c r="T375" s="4">
        <v>0</v>
      </c>
      <c r="U375" s="4">
        <v>0</v>
      </c>
      <c r="V375" s="4" t="s">
        <v>493</v>
      </c>
      <c r="W375" s="4" t="s">
        <v>493</v>
      </c>
      <c r="X375" s="4" t="s">
        <v>493</v>
      </c>
      <c r="Y375" s="4" t="s">
        <v>493</v>
      </c>
      <c r="Z375" s="4">
        <v>0</v>
      </c>
      <c r="AA375" s="4">
        <v>0</v>
      </c>
      <c r="AB375" s="4">
        <v>3</v>
      </c>
      <c r="AC375" s="4">
        <v>0</v>
      </c>
      <c r="AD375" s="4" t="s">
        <v>20</v>
      </c>
      <c r="AE375" s="3" t="s">
        <v>475</v>
      </c>
      <c r="AF375" s="4" t="s">
        <v>269</v>
      </c>
      <c r="AG375" s="4" t="s">
        <v>476</v>
      </c>
      <c r="AH375" s="4">
        <v>7.5</v>
      </c>
    </row>
    <row r="376" spans="1:34" x14ac:dyDescent="0.3">
      <c r="A376" s="7" t="s">
        <v>1255</v>
      </c>
      <c r="B376" s="7" t="s">
        <v>1256</v>
      </c>
      <c r="C376" s="7" t="s">
        <v>37</v>
      </c>
      <c r="D376" s="7" t="s">
        <v>555</v>
      </c>
      <c r="E376" s="7" t="s">
        <v>483</v>
      </c>
      <c r="F376" s="7" t="s">
        <v>484</v>
      </c>
      <c r="G376" s="7" t="s">
        <v>472</v>
      </c>
      <c r="H376" s="7" t="s">
        <v>480</v>
      </c>
      <c r="I376" s="7">
        <v>13</v>
      </c>
      <c r="J376" s="7">
        <v>13</v>
      </c>
      <c r="K376" s="7">
        <v>1</v>
      </c>
      <c r="L376" s="7">
        <v>645</v>
      </c>
      <c r="M376" s="7">
        <v>54</v>
      </c>
      <c r="N376" s="7">
        <v>53.75</v>
      </c>
      <c r="O376" s="7">
        <v>147.24</v>
      </c>
      <c r="P376" s="7">
        <v>1</v>
      </c>
      <c r="Q376" s="7">
        <v>0</v>
      </c>
      <c r="R376" s="7">
        <v>84</v>
      </c>
      <c r="S376" s="7">
        <v>49</v>
      </c>
      <c r="T376" s="7">
        <v>0</v>
      </c>
      <c r="U376" s="7">
        <v>6</v>
      </c>
      <c r="V376" s="7">
        <v>34.61</v>
      </c>
      <c r="W376" s="7">
        <v>7.28</v>
      </c>
      <c r="X376" s="7">
        <v>18.61</v>
      </c>
      <c r="Y376" s="7" t="s">
        <v>581</v>
      </c>
      <c r="Z376" s="7">
        <v>0</v>
      </c>
      <c r="AA376" s="7">
        <v>42.9</v>
      </c>
      <c r="AB376" s="7">
        <v>8</v>
      </c>
      <c r="AC376" s="7">
        <v>0</v>
      </c>
      <c r="AD376" s="7" t="s">
        <v>46</v>
      </c>
      <c r="AE376" s="3" t="s">
        <v>475</v>
      </c>
      <c r="AF376" s="7" t="s">
        <v>103</v>
      </c>
      <c r="AG376" s="7" t="s">
        <v>476</v>
      </c>
      <c r="AH376" s="7">
        <v>2</v>
      </c>
    </row>
    <row r="377" spans="1:34" x14ac:dyDescent="0.3">
      <c r="A377" s="4" t="s">
        <v>1257</v>
      </c>
      <c r="B377" s="4" t="s">
        <v>1258</v>
      </c>
      <c r="C377" s="4" t="s">
        <v>38</v>
      </c>
      <c r="D377" s="4" t="s">
        <v>654</v>
      </c>
      <c r="E377" s="4" t="s">
        <v>597</v>
      </c>
      <c r="F377" s="4" t="s">
        <v>490</v>
      </c>
      <c r="G377" s="4" t="s">
        <v>472</v>
      </c>
      <c r="H377" s="4" t="s">
        <v>492</v>
      </c>
      <c r="I377" s="4">
        <v>13</v>
      </c>
      <c r="J377" s="4">
        <v>11</v>
      </c>
      <c r="K377" s="4">
        <v>1</v>
      </c>
      <c r="L377" s="4">
        <v>514</v>
      </c>
      <c r="M377" s="4">
        <v>87</v>
      </c>
      <c r="N377" s="4">
        <v>51.4</v>
      </c>
      <c r="O377" s="4">
        <v>147.87</v>
      </c>
      <c r="P377" s="4">
        <v>1</v>
      </c>
      <c r="Q377" s="4">
        <v>0</v>
      </c>
      <c r="R377" s="4">
        <v>54</v>
      </c>
      <c r="S377" s="4">
        <v>21</v>
      </c>
      <c r="T377" s="4">
        <v>1</v>
      </c>
      <c r="U377" s="4">
        <v>0</v>
      </c>
      <c r="V377" s="4" t="s">
        <v>493</v>
      </c>
      <c r="W377" s="4" t="s">
        <v>493</v>
      </c>
      <c r="X377" s="4" t="s">
        <v>493</v>
      </c>
      <c r="Y377" s="4" t="s">
        <v>493</v>
      </c>
      <c r="Z377" s="4">
        <v>0</v>
      </c>
      <c r="AA377" s="4">
        <v>0</v>
      </c>
      <c r="AB377" s="4">
        <v>3</v>
      </c>
      <c r="AC377" s="4">
        <v>0</v>
      </c>
      <c r="AD377" s="4" t="s">
        <v>20</v>
      </c>
      <c r="AE377" s="8" t="s">
        <v>486</v>
      </c>
      <c r="AF377" s="4" t="s">
        <v>411</v>
      </c>
      <c r="AG377" s="4" t="s">
        <v>476</v>
      </c>
      <c r="AH377" s="4">
        <v>5</v>
      </c>
    </row>
    <row r="378" spans="1:34" x14ac:dyDescent="0.3">
      <c r="A378" s="7" t="s">
        <v>1259</v>
      </c>
      <c r="B378" s="7" t="s">
        <v>1260</v>
      </c>
      <c r="C378" s="7" t="s">
        <v>55</v>
      </c>
      <c r="D378" s="7" t="s">
        <v>588</v>
      </c>
      <c r="E378" s="7" t="s">
        <v>470</v>
      </c>
      <c r="F378" s="7" t="s">
        <v>471</v>
      </c>
      <c r="G378" s="7" t="s">
        <v>472</v>
      </c>
      <c r="H378" s="7" t="s">
        <v>556</v>
      </c>
      <c r="I378" s="7">
        <v>10</v>
      </c>
      <c r="J378" s="7">
        <v>8</v>
      </c>
      <c r="K378" s="7">
        <v>3</v>
      </c>
      <c r="L378" s="7">
        <v>220</v>
      </c>
      <c r="M378" s="7">
        <v>27</v>
      </c>
      <c r="N378" s="7">
        <v>44</v>
      </c>
      <c r="O378" s="7">
        <v>122.89</v>
      </c>
      <c r="P378" s="7">
        <v>0</v>
      </c>
      <c r="Q378" s="7">
        <v>0</v>
      </c>
      <c r="R378" s="7">
        <v>18</v>
      </c>
      <c r="S378" s="7">
        <v>11</v>
      </c>
      <c r="T378" s="7">
        <v>2</v>
      </c>
      <c r="U378" s="7">
        <v>11</v>
      </c>
      <c r="V378" s="7">
        <v>24.8</v>
      </c>
      <c r="W378" s="7">
        <v>10.119999999999999</v>
      </c>
      <c r="X378" s="7">
        <v>11.64</v>
      </c>
      <c r="Y378" s="7" t="s">
        <v>799</v>
      </c>
      <c r="Z378" s="7">
        <v>0</v>
      </c>
      <c r="AA378" s="7">
        <v>37.9</v>
      </c>
      <c r="AB378" s="7">
        <v>5</v>
      </c>
      <c r="AC378" s="7">
        <v>0</v>
      </c>
      <c r="AD378" s="7" t="s">
        <v>37</v>
      </c>
      <c r="AE378" s="3" t="s">
        <v>475</v>
      </c>
      <c r="AF378" s="7" t="s">
        <v>357</v>
      </c>
      <c r="AG378" s="7" t="s">
        <v>476</v>
      </c>
      <c r="AH378" s="7">
        <v>0.2</v>
      </c>
    </row>
    <row r="379" spans="1:34" x14ac:dyDescent="0.3">
      <c r="A379" s="4" t="s">
        <v>1261</v>
      </c>
      <c r="B379" s="4" t="s">
        <v>1262</v>
      </c>
      <c r="C379" s="4" t="s">
        <v>81</v>
      </c>
      <c r="D379" s="4" t="s">
        <v>750</v>
      </c>
      <c r="E379" s="4" t="s">
        <v>470</v>
      </c>
      <c r="F379" s="4" t="s">
        <v>490</v>
      </c>
      <c r="G379" s="4" t="s">
        <v>472</v>
      </c>
      <c r="H379" s="4" t="s">
        <v>492</v>
      </c>
      <c r="I379" s="4">
        <v>9</v>
      </c>
      <c r="J379" s="4">
        <v>7</v>
      </c>
      <c r="K379" s="4">
        <v>2</v>
      </c>
      <c r="L379" s="4">
        <v>144</v>
      </c>
      <c r="M379" s="4">
        <v>91</v>
      </c>
      <c r="N379" s="4">
        <v>28.8</v>
      </c>
      <c r="O379" s="4">
        <v>149.19999999999999</v>
      </c>
      <c r="P379" s="4">
        <v>0</v>
      </c>
      <c r="Q379" s="4">
        <v>0</v>
      </c>
      <c r="R379" s="4">
        <v>18</v>
      </c>
      <c r="S379" s="4">
        <v>8</v>
      </c>
      <c r="T379" s="4">
        <v>0</v>
      </c>
      <c r="U379" s="4">
        <v>0</v>
      </c>
      <c r="V379" s="4" t="s">
        <v>493</v>
      </c>
      <c r="W379" s="4" t="s">
        <v>493</v>
      </c>
      <c r="X379" s="4" t="s">
        <v>493</v>
      </c>
      <c r="Y379" s="4" t="s">
        <v>493</v>
      </c>
      <c r="Z379" s="4">
        <v>0</v>
      </c>
      <c r="AA379" s="4">
        <v>0</v>
      </c>
      <c r="AB379" s="4">
        <v>2</v>
      </c>
      <c r="AC379" s="4">
        <v>0</v>
      </c>
      <c r="AD379" s="4" t="s">
        <v>28</v>
      </c>
      <c r="AE379" s="8" t="s">
        <v>486</v>
      </c>
      <c r="AF379" s="4" t="s">
        <v>372</v>
      </c>
      <c r="AG379" s="4" t="s">
        <v>476</v>
      </c>
      <c r="AH379" s="4">
        <v>0.5</v>
      </c>
    </row>
    <row r="380" spans="1:34" x14ac:dyDescent="0.3">
      <c r="A380" s="7" t="s">
        <v>1263</v>
      </c>
      <c r="B380" s="7" t="s">
        <v>1264</v>
      </c>
      <c r="C380" s="7" t="s">
        <v>20</v>
      </c>
      <c r="D380" s="7" t="s">
        <v>523</v>
      </c>
      <c r="E380" s="7" t="s">
        <v>483</v>
      </c>
      <c r="F380" s="7" t="s">
        <v>490</v>
      </c>
      <c r="G380" s="7" t="s">
        <v>472</v>
      </c>
      <c r="H380" s="7" t="s">
        <v>492</v>
      </c>
      <c r="I380" s="7">
        <v>13</v>
      </c>
      <c r="J380" s="7">
        <v>13</v>
      </c>
      <c r="K380" s="7">
        <v>2</v>
      </c>
      <c r="L380" s="7">
        <v>596</v>
      </c>
      <c r="M380" s="7">
        <v>59</v>
      </c>
      <c r="N380" s="7">
        <v>54.18</v>
      </c>
      <c r="O380" s="7">
        <v>126.16</v>
      </c>
      <c r="P380" s="7">
        <v>0</v>
      </c>
      <c r="Q380" s="7">
        <v>0</v>
      </c>
      <c r="R380" s="7">
        <v>56</v>
      </c>
      <c r="S380" s="7">
        <v>50</v>
      </c>
      <c r="T380" s="7">
        <v>0</v>
      </c>
      <c r="U380" s="7">
        <v>0</v>
      </c>
      <c r="V380" s="7" t="s">
        <v>493</v>
      </c>
      <c r="W380" s="7" t="s">
        <v>493</v>
      </c>
      <c r="X380" s="7" t="s">
        <v>493</v>
      </c>
      <c r="Y380" s="7" t="s">
        <v>493</v>
      </c>
      <c r="Z380" s="7">
        <v>0</v>
      </c>
      <c r="AA380" s="7">
        <v>0</v>
      </c>
      <c r="AB380" s="7">
        <v>9</v>
      </c>
      <c r="AC380" s="7">
        <v>0</v>
      </c>
      <c r="AD380" s="7" t="s">
        <v>37</v>
      </c>
      <c r="AE380" s="8" t="s">
        <v>486</v>
      </c>
      <c r="AF380" s="7" t="s">
        <v>303</v>
      </c>
      <c r="AG380" s="7" t="s">
        <v>476</v>
      </c>
      <c r="AH380" s="7">
        <v>3</v>
      </c>
    </row>
    <row r="381" spans="1:34" x14ac:dyDescent="0.3">
      <c r="A381" s="4" t="s">
        <v>1265</v>
      </c>
      <c r="B381" s="4" t="s">
        <v>1266</v>
      </c>
      <c r="C381" s="4" t="s">
        <v>142</v>
      </c>
      <c r="D381" s="4" t="s">
        <v>684</v>
      </c>
      <c r="E381" s="4" t="s">
        <v>483</v>
      </c>
      <c r="F381" s="4" t="s">
        <v>490</v>
      </c>
      <c r="G381" s="4" t="s">
        <v>472</v>
      </c>
      <c r="H381" s="4" t="s">
        <v>492</v>
      </c>
      <c r="I381" s="4">
        <v>9</v>
      </c>
      <c r="J381" s="4">
        <v>9</v>
      </c>
      <c r="K381" s="4">
        <v>1</v>
      </c>
      <c r="L381" s="4">
        <v>187</v>
      </c>
      <c r="M381" s="4">
        <v>109</v>
      </c>
      <c r="N381" s="4">
        <v>23.38</v>
      </c>
      <c r="O381" s="4">
        <v>162.22</v>
      </c>
      <c r="P381" s="4">
        <v>0</v>
      </c>
      <c r="Q381" s="4">
        <v>0</v>
      </c>
      <c r="R381" s="4">
        <v>20</v>
      </c>
      <c r="S381" s="4">
        <v>7</v>
      </c>
      <c r="T381" s="4">
        <v>0</v>
      </c>
      <c r="U381" s="4">
        <v>0</v>
      </c>
      <c r="V381" s="4" t="s">
        <v>493</v>
      </c>
      <c r="W381" s="4" t="s">
        <v>493</v>
      </c>
      <c r="X381" s="4" t="s">
        <v>493</v>
      </c>
      <c r="Y381" s="4" t="s">
        <v>493</v>
      </c>
      <c r="Z381" s="4">
        <v>0</v>
      </c>
      <c r="AA381" s="4">
        <v>0</v>
      </c>
      <c r="AB381" s="4">
        <v>9</v>
      </c>
      <c r="AC381" s="4">
        <v>0</v>
      </c>
      <c r="AD381" s="4" t="s">
        <v>37</v>
      </c>
      <c r="AE381" s="8" t="s">
        <v>486</v>
      </c>
      <c r="AF381" s="4" t="s">
        <v>34</v>
      </c>
      <c r="AG381" s="4" t="s">
        <v>476</v>
      </c>
      <c r="AH381" s="4">
        <v>7.5</v>
      </c>
    </row>
    <row r="382" spans="1:34" x14ac:dyDescent="0.3">
      <c r="A382" s="7" t="s">
        <v>1267</v>
      </c>
      <c r="B382" s="7" t="s">
        <v>1268</v>
      </c>
      <c r="C382" s="7" t="s">
        <v>47</v>
      </c>
      <c r="D382" s="7" t="s">
        <v>717</v>
      </c>
      <c r="E382" s="7" t="s">
        <v>489</v>
      </c>
      <c r="F382" s="7" t="s">
        <v>490</v>
      </c>
      <c r="G382" s="7" t="s">
        <v>472</v>
      </c>
      <c r="H382" s="7" t="s">
        <v>492</v>
      </c>
      <c r="I382" s="7">
        <v>13</v>
      </c>
      <c r="J382" s="7">
        <v>12</v>
      </c>
      <c r="K382" s="7">
        <v>3</v>
      </c>
      <c r="L382" s="7">
        <v>299</v>
      </c>
      <c r="M382" s="7">
        <v>45</v>
      </c>
      <c r="N382" s="7">
        <v>33.22</v>
      </c>
      <c r="O382" s="7">
        <v>183.16</v>
      </c>
      <c r="P382" s="7">
        <v>0</v>
      </c>
      <c r="Q382" s="7">
        <v>0</v>
      </c>
      <c r="R382" s="7">
        <v>32</v>
      </c>
      <c r="S382" s="7">
        <v>27</v>
      </c>
      <c r="T382" s="7">
        <v>1</v>
      </c>
      <c r="U382" s="7">
        <v>0</v>
      </c>
      <c r="V382" s="7" t="s">
        <v>493</v>
      </c>
      <c r="W382" s="7" t="s">
        <v>493</v>
      </c>
      <c r="X382" s="7" t="s">
        <v>493</v>
      </c>
      <c r="Y382" s="7" t="s">
        <v>493</v>
      </c>
      <c r="Z382" s="7">
        <v>0</v>
      </c>
      <c r="AA382" s="7">
        <v>0</v>
      </c>
      <c r="AB382" s="7">
        <v>7</v>
      </c>
      <c r="AC382" s="7">
        <v>0</v>
      </c>
      <c r="AD382" s="7" t="s">
        <v>55</v>
      </c>
      <c r="AE382" s="8" t="s">
        <v>486</v>
      </c>
      <c r="AF382" s="7" t="s">
        <v>181</v>
      </c>
      <c r="AG382" s="7" t="s">
        <v>476</v>
      </c>
      <c r="AH382" s="7">
        <v>0.5</v>
      </c>
    </row>
    <row r="383" spans="1:34" x14ac:dyDescent="0.3">
      <c r="A383" s="4" t="s">
        <v>1269</v>
      </c>
      <c r="B383" s="4" t="s">
        <v>1270</v>
      </c>
      <c r="C383" s="4" t="s">
        <v>46</v>
      </c>
      <c r="D383" s="4" t="s">
        <v>622</v>
      </c>
      <c r="E383" s="4" t="s">
        <v>483</v>
      </c>
      <c r="F383" s="4" t="s">
        <v>490</v>
      </c>
      <c r="G383" s="4" t="s">
        <v>491</v>
      </c>
      <c r="H383" s="4" t="s">
        <v>492</v>
      </c>
      <c r="I383" s="4">
        <v>12</v>
      </c>
      <c r="J383" s="4">
        <v>11</v>
      </c>
      <c r="K383" s="4">
        <v>1</v>
      </c>
      <c r="L383" s="4">
        <v>461</v>
      </c>
      <c r="M383" s="4">
        <v>77</v>
      </c>
      <c r="N383" s="4">
        <v>46.1</v>
      </c>
      <c r="O383" s="4">
        <v>115.23</v>
      </c>
      <c r="P383" s="4">
        <v>0</v>
      </c>
      <c r="Q383" s="4">
        <v>0</v>
      </c>
      <c r="R383" s="4">
        <v>40</v>
      </c>
      <c r="S383" s="4">
        <v>35</v>
      </c>
      <c r="T383" s="4">
        <v>0</v>
      </c>
      <c r="U383" s="4">
        <v>0</v>
      </c>
      <c r="V383" s="4" t="s">
        <v>493</v>
      </c>
      <c r="W383" s="4" t="s">
        <v>493</v>
      </c>
      <c r="X383" s="4" t="s">
        <v>493</v>
      </c>
      <c r="Y383" s="4" t="s">
        <v>493</v>
      </c>
      <c r="Z383" s="4">
        <v>0</v>
      </c>
      <c r="AA383" s="4">
        <v>0</v>
      </c>
      <c r="AB383" s="4">
        <v>2</v>
      </c>
      <c r="AC383" s="4">
        <v>0</v>
      </c>
      <c r="AD383" s="4" t="s">
        <v>81</v>
      </c>
      <c r="AE383" s="8" t="s">
        <v>486</v>
      </c>
      <c r="AF383" s="4" t="s">
        <v>171</v>
      </c>
      <c r="AG383" s="4" t="s">
        <v>476</v>
      </c>
      <c r="AH383" s="4">
        <v>18</v>
      </c>
    </row>
    <row r="384" spans="1:34" x14ac:dyDescent="0.3">
      <c r="A384" s="7" t="s">
        <v>1271</v>
      </c>
      <c r="B384" s="7" t="s">
        <v>1272</v>
      </c>
      <c r="C384" s="7" t="s">
        <v>38</v>
      </c>
      <c r="D384" s="7" t="s">
        <v>654</v>
      </c>
      <c r="E384" s="7" t="s">
        <v>483</v>
      </c>
      <c r="F384" s="7" t="s">
        <v>490</v>
      </c>
      <c r="G384" s="7" t="s">
        <v>491</v>
      </c>
      <c r="H384" s="7" t="s">
        <v>492</v>
      </c>
      <c r="I384" s="7">
        <v>12</v>
      </c>
      <c r="J384" s="7">
        <v>11</v>
      </c>
      <c r="K384" s="7">
        <v>1</v>
      </c>
      <c r="L384" s="7">
        <v>461</v>
      </c>
      <c r="M384" s="7">
        <v>77</v>
      </c>
      <c r="N384" s="7">
        <v>46.1</v>
      </c>
      <c r="O384" s="7">
        <v>115.23</v>
      </c>
      <c r="P384" s="7">
        <v>0</v>
      </c>
      <c r="Q384" s="7">
        <v>0</v>
      </c>
      <c r="R384" s="7">
        <v>40</v>
      </c>
      <c r="S384" s="7">
        <v>35</v>
      </c>
      <c r="T384" s="7">
        <v>0</v>
      </c>
      <c r="U384" s="7">
        <v>0</v>
      </c>
      <c r="V384" s="7" t="s">
        <v>493</v>
      </c>
      <c r="W384" s="7" t="s">
        <v>493</v>
      </c>
      <c r="X384" s="7" t="s">
        <v>493</v>
      </c>
      <c r="Y384" s="7" t="s">
        <v>493</v>
      </c>
      <c r="Z384" s="7">
        <v>0</v>
      </c>
      <c r="AA384" s="7">
        <v>0</v>
      </c>
      <c r="AB384" s="7">
        <v>2</v>
      </c>
      <c r="AC384" s="7">
        <v>0</v>
      </c>
      <c r="AD384" s="7" t="s">
        <v>81</v>
      </c>
      <c r="AE384" s="8" t="s">
        <v>486</v>
      </c>
      <c r="AF384" s="7" t="s">
        <v>171</v>
      </c>
      <c r="AG384" s="7" t="s">
        <v>476</v>
      </c>
      <c r="AH384" s="7">
        <v>18</v>
      </c>
    </row>
    <row r="385" spans="1:34" x14ac:dyDescent="0.3">
      <c r="A385" s="4" t="s">
        <v>1273</v>
      </c>
      <c r="B385" s="4" t="s">
        <v>1274</v>
      </c>
      <c r="C385" s="4" t="s">
        <v>28</v>
      </c>
      <c r="D385" s="4" t="s">
        <v>779</v>
      </c>
      <c r="E385" s="4" t="s">
        <v>559</v>
      </c>
      <c r="F385" s="4" t="s">
        <v>490</v>
      </c>
      <c r="G385" s="4" t="s">
        <v>472</v>
      </c>
      <c r="H385" s="4" t="s">
        <v>492</v>
      </c>
      <c r="I385" s="4">
        <v>11</v>
      </c>
      <c r="J385" s="4">
        <v>9</v>
      </c>
      <c r="K385" s="4">
        <v>2</v>
      </c>
      <c r="L385" s="4">
        <v>154</v>
      </c>
      <c r="M385" s="4">
        <v>35</v>
      </c>
      <c r="N385" s="4">
        <v>22</v>
      </c>
      <c r="O385" s="4">
        <v>163.15</v>
      </c>
      <c r="P385" s="4">
        <v>0</v>
      </c>
      <c r="Q385" s="4">
        <v>0</v>
      </c>
      <c r="R385" s="4">
        <v>20</v>
      </c>
      <c r="S385" s="4">
        <v>6</v>
      </c>
      <c r="T385" s="4">
        <v>0</v>
      </c>
      <c r="U385" s="4">
        <v>0</v>
      </c>
      <c r="V385" s="4" t="s">
        <v>493</v>
      </c>
      <c r="W385" s="4" t="s">
        <v>493</v>
      </c>
      <c r="X385" s="4" t="s">
        <v>493</v>
      </c>
      <c r="Y385" s="4" t="s">
        <v>493</v>
      </c>
      <c r="Z385" s="4">
        <v>0</v>
      </c>
      <c r="AA385" s="4">
        <v>0</v>
      </c>
      <c r="AB385" s="4">
        <v>3</v>
      </c>
      <c r="AC385" s="4">
        <v>0</v>
      </c>
      <c r="AD385" s="4" t="s">
        <v>37</v>
      </c>
      <c r="AE385" s="3" t="s">
        <v>475</v>
      </c>
      <c r="AF385" s="4" t="s">
        <v>343</v>
      </c>
      <c r="AG385" s="4" t="s">
        <v>476</v>
      </c>
      <c r="AH385" s="4">
        <v>15</v>
      </c>
    </row>
    <row r="386" spans="1:34" x14ac:dyDescent="0.3">
      <c r="A386" s="7" t="s">
        <v>1275</v>
      </c>
      <c r="B386" s="7" t="s">
        <v>1276</v>
      </c>
      <c r="C386" s="7" t="s">
        <v>38</v>
      </c>
      <c r="D386" s="7" t="s">
        <v>654</v>
      </c>
      <c r="E386" s="7" t="s">
        <v>483</v>
      </c>
      <c r="F386" s="7" t="s">
        <v>490</v>
      </c>
      <c r="G386" s="7" t="s">
        <v>472</v>
      </c>
      <c r="H386" s="7" t="s">
        <v>492</v>
      </c>
      <c r="I386" s="7">
        <v>13</v>
      </c>
      <c r="J386" s="7">
        <v>12</v>
      </c>
      <c r="K386" s="7">
        <v>1</v>
      </c>
      <c r="L386" s="7">
        <v>434</v>
      </c>
      <c r="M386" s="7">
        <v>91</v>
      </c>
      <c r="N386" s="7">
        <v>39.450000000000003</v>
      </c>
      <c r="O386" s="7">
        <v>180.54</v>
      </c>
      <c r="P386" s="7">
        <v>0</v>
      </c>
      <c r="Q386" s="7">
        <v>0</v>
      </c>
      <c r="R386" s="7">
        <v>37</v>
      </c>
      <c r="S386" s="7">
        <v>38</v>
      </c>
      <c r="T386" s="7">
        <v>0</v>
      </c>
      <c r="U386" s="7">
        <v>0</v>
      </c>
      <c r="V386" s="7" t="s">
        <v>493</v>
      </c>
      <c r="W386" s="7" t="s">
        <v>493</v>
      </c>
      <c r="X386" s="7" t="s">
        <v>493</v>
      </c>
      <c r="Y386" s="7" t="s">
        <v>493</v>
      </c>
      <c r="Z386" s="7">
        <v>0</v>
      </c>
      <c r="AA386" s="7">
        <v>0</v>
      </c>
      <c r="AB386" s="7">
        <v>2</v>
      </c>
      <c r="AC386" s="7">
        <v>0</v>
      </c>
      <c r="AD386" s="7" t="s">
        <v>81</v>
      </c>
      <c r="AE386" s="8" t="s">
        <v>486</v>
      </c>
      <c r="AF386" s="7" t="s">
        <v>196</v>
      </c>
      <c r="AG386" s="7" t="s">
        <v>476</v>
      </c>
      <c r="AH386" s="7">
        <v>10</v>
      </c>
    </row>
    <row r="387" spans="1:34" x14ac:dyDescent="0.3">
      <c r="A387" s="4" t="s">
        <v>1277</v>
      </c>
      <c r="B387" s="4" t="s">
        <v>1278</v>
      </c>
      <c r="C387" s="4" t="s">
        <v>55</v>
      </c>
      <c r="D387" s="4" t="s">
        <v>588</v>
      </c>
      <c r="E387" s="4" t="s">
        <v>483</v>
      </c>
      <c r="F387" s="4" t="s">
        <v>484</v>
      </c>
      <c r="G387" s="4" t="s">
        <v>472</v>
      </c>
      <c r="H387" s="4" t="s">
        <v>516</v>
      </c>
      <c r="I387" s="4">
        <v>9</v>
      </c>
      <c r="J387" s="4">
        <v>7</v>
      </c>
      <c r="K387" s="4">
        <v>3</v>
      </c>
      <c r="L387" s="4">
        <v>167</v>
      </c>
      <c r="M387" s="4">
        <v>110</v>
      </c>
      <c r="N387" s="4">
        <v>41.75</v>
      </c>
      <c r="O387" s="4">
        <v>111.25</v>
      </c>
      <c r="P387" s="4">
        <v>0</v>
      </c>
      <c r="Q387" s="4">
        <v>0</v>
      </c>
      <c r="R387" s="4">
        <v>21</v>
      </c>
      <c r="S387" s="4">
        <v>6</v>
      </c>
      <c r="T387" s="4">
        <v>0</v>
      </c>
      <c r="U387" s="4">
        <v>8</v>
      </c>
      <c r="V387" s="4">
        <v>15.6</v>
      </c>
      <c r="W387" s="4">
        <v>9.41</v>
      </c>
      <c r="X387" s="4">
        <v>11.55</v>
      </c>
      <c r="Y387" s="4" t="s">
        <v>541</v>
      </c>
      <c r="Z387" s="4">
        <v>0</v>
      </c>
      <c r="AA387" s="4">
        <v>23.3</v>
      </c>
      <c r="AB387" s="4">
        <v>4</v>
      </c>
      <c r="AC387" s="4">
        <v>0</v>
      </c>
      <c r="AD387" s="4" t="s">
        <v>47</v>
      </c>
      <c r="AE387" s="3" t="s">
        <v>475</v>
      </c>
      <c r="AF387" s="4" t="s">
        <v>298</v>
      </c>
      <c r="AG387" s="4" t="s">
        <v>476</v>
      </c>
      <c r="AH387" s="4">
        <v>4</v>
      </c>
    </row>
    <row r="388" spans="1:34" x14ac:dyDescent="0.3">
      <c r="A388" s="7" t="s">
        <v>1279</v>
      </c>
      <c r="B388" s="7" t="s">
        <v>1280</v>
      </c>
      <c r="C388" s="7" t="s">
        <v>38</v>
      </c>
      <c r="D388" s="7" t="s">
        <v>654</v>
      </c>
      <c r="E388" s="7" t="s">
        <v>483</v>
      </c>
      <c r="F388" s="7" t="s">
        <v>471</v>
      </c>
      <c r="G388" s="7" t="s">
        <v>472</v>
      </c>
      <c r="H388" s="7" t="s">
        <v>514</v>
      </c>
      <c r="I388" s="7">
        <v>11</v>
      </c>
      <c r="J388" s="7">
        <v>11</v>
      </c>
      <c r="K388" s="7">
        <v>0</v>
      </c>
      <c r="L388" s="7">
        <v>36</v>
      </c>
      <c r="M388" s="7">
        <v>19</v>
      </c>
      <c r="N388" s="7">
        <v>3.27</v>
      </c>
      <c r="O388" s="7">
        <v>122.14</v>
      </c>
      <c r="P388" s="7">
        <v>0</v>
      </c>
      <c r="Q388" s="7">
        <v>0</v>
      </c>
      <c r="R388" s="7">
        <v>3</v>
      </c>
      <c r="S388" s="7">
        <v>1</v>
      </c>
      <c r="T388" s="7">
        <v>0</v>
      </c>
      <c r="U388" s="7">
        <v>0</v>
      </c>
      <c r="V388" s="7">
        <v>24.33</v>
      </c>
      <c r="W388" s="7">
        <v>7.9</v>
      </c>
      <c r="X388" s="7">
        <v>17.16</v>
      </c>
      <c r="Y388" s="7" t="s">
        <v>701</v>
      </c>
      <c r="Z388" s="7">
        <v>0</v>
      </c>
      <c r="AA388" s="7">
        <v>40.9</v>
      </c>
      <c r="AB388" s="7">
        <v>2</v>
      </c>
      <c r="AC388" s="7">
        <v>0</v>
      </c>
      <c r="AD388" s="7" t="s">
        <v>46</v>
      </c>
      <c r="AE388" s="3" t="s">
        <v>475</v>
      </c>
      <c r="AF388" s="7" t="s">
        <v>279</v>
      </c>
      <c r="AG388" s="7" t="s">
        <v>476</v>
      </c>
      <c r="AH388" s="7">
        <v>21</v>
      </c>
    </row>
    <row r="389" spans="1:34" x14ac:dyDescent="0.3">
      <c r="A389" s="4" t="s">
        <v>1281</v>
      </c>
      <c r="B389" s="4" t="s">
        <v>1282</v>
      </c>
      <c r="C389" s="4" t="s">
        <v>19</v>
      </c>
      <c r="D389" s="4" t="s">
        <v>469</v>
      </c>
      <c r="E389" s="4" t="s">
        <v>483</v>
      </c>
      <c r="F389" s="4" t="s">
        <v>490</v>
      </c>
      <c r="G389" s="4" t="s">
        <v>491</v>
      </c>
      <c r="H389" s="4" t="s">
        <v>492</v>
      </c>
      <c r="I389" s="4">
        <v>13</v>
      </c>
      <c r="J389" s="4">
        <v>11</v>
      </c>
      <c r="K389" s="4">
        <v>3</v>
      </c>
      <c r="L389" s="4">
        <v>405</v>
      </c>
      <c r="M389" s="4">
        <v>118</v>
      </c>
      <c r="N389" s="4">
        <v>50.62</v>
      </c>
      <c r="O389" s="4">
        <v>174.41</v>
      </c>
      <c r="P389" s="4">
        <v>0</v>
      </c>
      <c r="Q389" s="4">
        <v>0</v>
      </c>
      <c r="R389" s="4">
        <v>36</v>
      </c>
      <c r="S389" s="4">
        <v>28</v>
      </c>
      <c r="T389" s="4">
        <v>1</v>
      </c>
      <c r="U389" s="4">
        <v>0</v>
      </c>
      <c r="V389" s="4" t="s">
        <v>493</v>
      </c>
      <c r="W389" s="4" t="s">
        <v>493</v>
      </c>
      <c r="X389" s="4" t="s">
        <v>493</v>
      </c>
      <c r="Y389" s="4" t="s">
        <v>493</v>
      </c>
      <c r="Z389" s="4">
        <v>0</v>
      </c>
      <c r="AA389" s="4">
        <v>0</v>
      </c>
      <c r="AB389" s="4">
        <v>8</v>
      </c>
      <c r="AC389" s="4">
        <v>0</v>
      </c>
      <c r="AD389" s="4" t="s">
        <v>28</v>
      </c>
      <c r="AE389" s="8" t="s">
        <v>486</v>
      </c>
      <c r="AF389" s="4" t="s">
        <v>52</v>
      </c>
      <c r="AG389" s="4" t="s">
        <v>476</v>
      </c>
      <c r="AH389" s="4">
        <v>15</v>
      </c>
    </row>
    <row r="390" spans="1:34" x14ac:dyDescent="0.3">
      <c r="A390" s="7" t="s">
        <v>1283</v>
      </c>
      <c r="B390" s="7" t="s">
        <v>1284</v>
      </c>
      <c r="C390" s="7" t="s">
        <v>38</v>
      </c>
      <c r="D390" s="7" t="s">
        <v>654</v>
      </c>
      <c r="E390" s="7" t="s">
        <v>489</v>
      </c>
      <c r="F390" s="7" t="s">
        <v>490</v>
      </c>
      <c r="G390" s="7" t="s">
        <v>472</v>
      </c>
      <c r="H390" s="7" t="s">
        <v>492</v>
      </c>
      <c r="I390" s="7">
        <v>12</v>
      </c>
      <c r="J390" s="7">
        <v>12</v>
      </c>
      <c r="K390" s="7">
        <v>1</v>
      </c>
      <c r="L390" s="7">
        <v>582</v>
      </c>
      <c r="M390" s="7">
        <v>120</v>
      </c>
      <c r="N390" s="7">
        <v>52.91</v>
      </c>
      <c r="O390" s="7">
        <v>162.52000000000001</v>
      </c>
      <c r="P390" s="7">
        <v>1</v>
      </c>
      <c r="Q390" s="7">
        <v>0</v>
      </c>
      <c r="R390" s="7">
        <v>62</v>
      </c>
      <c r="S390" s="7">
        <v>42</v>
      </c>
      <c r="T390" s="7">
        <v>0</v>
      </c>
      <c r="U390" s="7">
        <v>0</v>
      </c>
      <c r="V390" s="7" t="s">
        <v>493</v>
      </c>
      <c r="W390" s="7" t="s">
        <v>493</v>
      </c>
      <c r="X390" s="7" t="s">
        <v>493</v>
      </c>
      <c r="Y390" s="7" t="s">
        <v>493</v>
      </c>
      <c r="Z390" s="7">
        <v>0</v>
      </c>
      <c r="AA390" s="7">
        <v>0</v>
      </c>
      <c r="AB390" s="7">
        <v>10</v>
      </c>
      <c r="AC390" s="7">
        <v>0</v>
      </c>
      <c r="AD390" s="7" t="s">
        <v>142</v>
      </c>
      <c r="AE390" s="8" t="s">
        <v>486</v>
      </c>
      <c r="AF390" s="7" t="s">
        <v>337</v>
      </c>
      <c r="AG390" s="7" t="s">
        <v>476</v>
      </c>
      <c r="AH390" s="7">
        <v>10</v>
      </c>
    </row>
    <row r="391" spans="1:34" x14ac:dyDescent="0.3">
      <c r="A391" s="4" t="s">
        <v>1285</v>
      </c>
      <c r="B391" s="4" t="s">
        <v>1286</v>
      </c>
      <c r="C391" s="4" t="s">
        <v>46</v>
      </c>
      <c r="D391" s="4" t="s">
        <v>622</v>
      </c>
      <c r="E391" s="4" t="s">
        <v>483</v>
      </c>
      <c r="F391" s="4" t="s">
        <v>471</v>
      </c>
      <c r="G391" s="4" t="s">
        <v>491</v>
      </c>
      <c r="H391" s="4" t="s">
        <v>514</v>
      </c>
      <c r="I391" s="4">
        <v>13</v>
      </c>
      <c r="J391" s="4">
        <v>12</v>
      </c>
      <c r="K391" s="4">
        <v>1</v>
      </c>
      <c r="L391" s="4">
        <v>100</v>
      </c>
      <c r="M391" s="4">
        <v>17</v>
      </c>
      <c r="N391" s="4">
        <v>9.09</v>
      </c>
      <c r="O391" s="4">
        <v>124.13</v>
      </c>
      <c r="P391" s="4">
        <v>0</v>
      </c>
      <c r="Q391" s="4">
        <v>0</v>
      </c>
      <c r="R391" s="4">
        <v>8</v>
      </c>
      <c r="S391" s="4">
        <v>5</v>
      </c>
      <c r="T391" s="4">
        <v>0</v>
      </c>
      <c r="U391" s="4">
        <v>31</v>
      </c>
      <c r="V391" s="4">
        <v>26.69</v>
      </c>
      <c r="W391" s="4">
        <v>7.88</v>
      </c>
      <c r="X391" s="4">
        <v>19.760000000000002</v>
      </c>
      <c r="Y391" s="4" t="s">
        <v>585</v>
      </c>
      <c r="Z391" s="4">
        <v>0</v>
      </c>
      <c r="AA391" s="4">
        <v>37.299999999999997</v>
      </c>
      <c r="AB391" s="4">
        <v>11</v>
      </c>
      <c r="AC391" s="4">
        <v>0</v>
      </c>
      <c r="AD391" s="4" t="s">
        <v>142</v>
      </c>
      <c r="AE391" s="3" t="s">
        <v>475</v>
      </c>
      <c r="AF391" s="4" t="s">
        <v>274</v>
      </c>
      <c r="AG391" s="4" t="s">
        <v>502</v>
      </c>
      <c r="AH391" s="4">
        <v>21</v>
      </c>
    </row>
    <row r="392" spans="1:34" x14ac:dyDescent="0.3">
      <c r="A392" s="7" t="s">
        <v>1287</v>
      </c>
      <c r="B392" s="7" t="s">
        <v>1288</v>
      </c>
      <c r="C392" s="7" t="s">
        <v>20</v>
      </c>
      <c r="D392" s="7" t="s">
        <v>523</v>
      </c>
      <c r="E392" s="7" t="s">
        <v>483</v>
      </c>
      <c r="F392" s="7" t="s">
        <v>490</v>
      </c>
      <c r="G392" s="7" t="s">
        <v>472</v>
      </c>
      <c r="H392" s="7" t="s">
        <v>492</v>
      </c>
      <c r="I392" s="7">
        <v>9</v>
      </c>
      <c r="J392" s="7">
        <v>9</v>
      </c>
      <c r="K392" s="7">
        <v>1</v>
      </c>
      <c r="L392" s="7">
        <v>187</v>
      </c>
      <c r="M392" s="7">
        <v>109</v>
      </c>
      <c r="N392" s="7">
        <v>23.38</v>
      </c>
      <c r="O392" s="7">
        <v>162.22</v>
      </c>
      <c r="P392" s="7">
        <v>0</v>
      </c>
      <c r="Q392" s="7">
        <v>0</v>
      </c>
      <c r="R392" s="7">
        <v>20</v>
      </c>
      <c r="S392" s="7">
        <v>7</v>
      </c>
      <c r="T392" s="7">
        <v>0</v>
      </c>
      <c r="U392" s="7">
        <v>0</v>
      </c>
      <c r="V392" s="7" t="s">
        <v>493</v>
      </c>
      <c r="W392" s="7" t="s">
        <v>493</v>
      </c>
      <c r="X392" s="7" t="s">
        <v>493</v>
      </c>
      <c r="Y392" s="7" t="s">
        <v>493</v>
      </c>
      <c r="Z392" s="7">
        <v>0</v>
      </c>
      <c r="AA392" s="7">
        <v>0</v>
      </c>
      <c r="AB392" s="7">
        <v>9</v>
      </c>
      <c r="AC392" s="7">
        <v>0</v>
      </c>
      <c r="AD392" s="7" t="s">
        <v>37</v>
      </c>
      <c r="AE392" s="8" t="s">
        <v>486</v>
      </c>
      <c r="AF392" s="7" t="s">
        <v>34</v>
      </c>
      <c r="AG392" s="7" t="s">
        <v>476</v>
      </c>
      <c r="AH392" s="7">
        <v>7.5</v>
      </c>
    </row>
    <row r="393" spans="1:34" x14ac:dyDescent="0.3">
      <c r="A393" s="4" t="s">
        <v>1289</v>
      </c>
      <c r="B393" s="4" t="s">
        <v>1290</v>
      </c>
      <c r="C393" s="4" t="s">
        <v>46</v>
      </c>
      <c r="D393" s="4" t="s">
        <v>622</v>
      </c>
      <c r="E393" s="4" t="s">
        <v>483</v>
      </c>
      <c r="F393" s="4" t="s">
        <v>490</v>
      </c>
      <c r="G393" s="4" t="s">
        <v>491</v>
      </c>
      <c r="H393" s="4" t="s">
        <v>492</v>
      </c>
      <c r="I393" s="4">
        <v>11</v>
      </c>
      <c r="J393" s="4">
        <v>10</v>
      </c>
      <c r="K393" s="4">
        <v>1</v>
      </c>
      <c r="L393" s="4">
        <v>162</v>
      </c>
      <c r="M393" s="4">
        <v>86</v>
      </c>
      <c r="N393" s="4">
        <v>18</v>
      </c>
      <c r="O393" s="4">
        <v>163.77000000000001</v>
      </c>
      <c r="P393" s="4">
        <v>0</v>
      </c>
      <c r="Q393" s="4">
        <v>0</v>
      </c>
      <c r="R393" s="4">
        <v>22</v>
      </c>
      <c r="S393" s="4">
        <v>6</v>
      </c>
      <c r="T393" s="4">
        <v>0</v>
      </c>
      <c r="U393" s="4">
        <v>0</v>
      </c>
      <c r="V393" s="4" t="s">
        <v>493</v>
      </c>
      <c r="W393" s="4" t="s">
        <v>493</v>
      </c>
      <c r="X393" s="4" t="s">
        <v>493</v>
      </c>
      <c r="Y393" s="4" t="s">
        <v>493</v>
      </c>
      <c r="Z393" s="4">
        <v>0</v>
      </c>
      <c r="AA393" s="4">
        <v>0</v>
      </c>
      <c r="AB393" s="4">
        <v>2</v>
      </c>
      <c r="AC393" s="4">
        <v>0</v>
      </c>
      <c r="AD393" s="4" t="s">
        <v>19</v>
      </c>
      <c r="AE393" s="3" t="s">
        <v>475</v>
      </c>
      <c r="AF393" s="4" t="s">
        <v>377</v>
      </c>
      <c r="AG393" s="4" t="s">
        <v>476</v>
      </c>
      <c r="AH393" s="4">
        <v>5</v>
      </c>
    </row>
    <row r="394" spans="1:34" x14ac:dyDescent="0.3">
      <c r="A394" s="7" t="s">
        <v>1291</v>
      </c>
      <c r="B394" s="7" t="s">
        <v>1292</v>
      </c>
      <c r="C394" s="7" t="s">
        <v>28</v>
      </c>
      <c r="D394" s="7" t="s">
        <v>779</v>
      </c>
      <c r="E394" s="7" t="s">
        <v>559</v>
      </c>
      <c r="F394" s="7" t="s">
        <v>490</v>
      </c>
      <c r="G394" s="7" t="s">
        <v>472</v>
      </c>
      <c r="H394" s="7" t="s">
        <v>492</v>
      </c>
      <c r="I394" s="7">
        <v>12</v>
      </c>
      <c r="J394" s="7">
        <v>10</v>
      </c>
      <c r="K394" s="7">
        <v>3</v>
      </c>
      <c r="L394" s="7">
        <v>324</v>
      </c>
      <c r="M394" s="7">
        <v>69</v>
      </c>
      <c r="N394" s="7">
        <v>46.29</v>
      </c>
      <c r="O394" s="7">
        <v>154.68</v>
      </c>
      <c r="P394" s="7">
        <v>0</v>
      </c>
      <c r="Q394" s="7">
        <v>0</v>
      </c>
      <c r="R394" s="7">
        <v>39</v>
      </c>
      <c r="S394" s="7">
        <v>38</v>
      </c>
      <c r="T394" s="7">
        <v>0</v>
      </c>
      <c r="U394" s="7">
        <v>0</v>
      </c>
      <c r="V394" s="7" t="s">
        <v>493</v>
      </c>
      <c r="W394" s="7" t="s">
        <v>493</v>
      </c>
      <c r="X394" s="7" t="s">
        <v>493</v>
      </c>
      <c r="Y394" s="7" t="s">
        <v>493</v>
      </c>
      <c r="Z394" s="7">
        <v>0</v>
      </c>
      <c r="AA394" s="7">
        <v>0</v>
      </c>
      <c r="AB394" s="7">
        <v>4</v>
      </c>
      <c r="AC394" s="7">
        <v>0</v>
      </c>
      <c r="AD394" s="7" t="s">
        <v>46</v>
      </c>
      <c r="AE394" s="8" t="s">
        <v>486</v>
      </c>
      <c r="AF394" s="7" t="s">
        <v>363</v>
      </c>
      <c r="AG394" s="7" t="s">
        <v>476</v>
      </c>
      <c r="AH394" s="7">
        <v>1.5</v>
      </c>
    </row>
    <row r="395" spans="1:34" x14ac:dyDescent="0.3">
      <c r="A395" s="4" t="s">
        <v>1293</v>
      </c>
      <c r="B395" s="4" t="s">
        <v>1294</v>
      </c>
      <c r="C395" s="4" t="s">
        <v>28</v>
      </c>
      <c r="D395" s="4" t="s">
        <v>779</v>
      </c>
      <c r="E395" s="4" t="s">
        <v>597</v>
      </c>
      <c r="F395" s="4" t="s">
        <v>490</v>
      </c>
      <c r="G395" s="4" t="s">
        <v>472</v>
      </c>
      <c r="H395" s="4" t="s">
        <v>492</v>
      </c>
      <c r="I395" s="4">
        <v>13</v>
      </c>
      <c r="J395" s="4">
        <v>11</v>
      </c>
      <c r="K395" s="4">
        <v>1</v>
      </c>
      <c r="L395" s="4">
        <v>514</v>
      </c>
      <c r="M395" s="4">
        <v>87</v>
      </c>
      <c r="N395" s="4">
        <v>51.4</v>
      </c>
      <c r="O395" s="4">
        <v>147.87</v>
      </c>
      <c r="P395" s="4">
        <v>1</v>
      </c>
      <c r="Q395" s="4">
        <v>0</v>
      </c>
      <c r="R395" s="4">
        <v>54</v>
      </c>
      <c r="S395" s="4">
        <v>21</v>
      </c>
      <c r="T395" s="4">
        <v>1</v>
      </c>
      <c r="U395" s="4">
        <v>0</v>
      </c>
      <c r="V395" s="4" t="s">
        <v>493</v>
      </c>
      <c r="W395" s="4" t="s">
        <v>493</v>
      </c>
      <c r="X395" s="4" t="s">
        <v>493</v>
      </c>
      <c r="Y395" s="4" t="s">
        <v>493</v>
      </c>
      <c r="Z395" s="4">
        <v>0</v>
      </c>
      <c r="AA395" s="4">
        <v>0</v>
      </c>
      <c r="AB395" s="4">
        <v>3</v>
      </c>
      <c r="AC395" s="4">
        <v>0</v>
      </c>
      <c r="AD395" s="4" t="s">
        <v>20</v>
      </c>
      <c r="AE395" s="8" t="s">
        <v>486</v>
      </c>
      <c r="AF395" s="4" t="s">
        <v>411</v>
      </c>
      <c r="AG395" s="4" t="s">
        <v>476</v>
      </c>
      <c r="AH395" s="4">
        <v>5</v>
      </c>
    </row>
    <row r="396" spans="1:34" x14ac:dyDescent="0.3">
      <c r="A396" s="7" t="s">
        <v>1295</v>
      </c>
      <c r="B396" s="7" t="s">
        <v>1296</v>
      </c>
      <c r="C396" s="7" t="s">
        <v>20</v>
      </c>
      <c r="D396" s="7" t="s">
        <v>523</v>
      </c>
      <c r="E396" s="7" t="s">
        <v>483</v>
      </c>
      <c r="F396" s="7" t="s">
        <v>490</v>
      </c>
      <c r="G396" s="7" t="s">
        <v>472</v>
      </c>
      <c r="H396" s="7" t="s">
        <v>492</v>
      </c>
      <c r="I396" s="7">
        <v>10</v>
      </c>
      <c r="J396" s="7">
        <v>8</v>
      </c>
      <c r="K396" s="7">
        <v>0</v>
      </c>
      <c r="L396" s="7">
        <v>394</v>
      </c>
      <c r="M396" s="7">
        <v>101</v>
      </c>
      <c r="N396" s="7">
        <v>49.25</v>
      </c>
      <c r="O396" s="7">
        <v>152.62</v>
      </c>
      <c r="P396" s="7">
        <v>0</v>
      </c>
      <c r="Q396" s="7">
        <v>0</v>
      </c>
      <c r="R396" s="7">
        <v>35</v>
      </c>
      <c r="S396" s="7">
        <v>32</v>
      </c>
      <c r="T396" s="7">
        <v>0</v>
      </c>
      <c r="U396" s="7">
        <v>0</v>
      </c>
      <c r="V396" s="7" t="s">
        <v>493</v>
      </c>
      <c r="W396" s="7" t="s">
        <v>493</v>
      </c>
      <c r="X396" s="7" t="s">
        <v>493</v>
      </c>
      <c r="Y396" s="7" t="s">
        <v>493</v>
      </c>
      <c r="Z396" s="7">
        <v>0</v>
      </c>
      <c r="AA396" s="7">
        <v>0</v>
      </c>
      <c r="AB396" s="7">
        <v>5</v>
      </c>
      <c r="AC396" s="7">
        <v>0</v>
      </c>
      <c r="AD396" s="7" t="s">
        <v>20</v>
      </c>
      <c r="AE396" s="3" t="s">
        <v>475</v>
      </c>
      <c r="AF396" s="7" t="s">
        <v>372</v>
      </c>
      <c r="AG396" s="7" t="s">
        <v>502</v>
      </c>
      <c r="AH396" s="7">
        <v>0.2</v>
      </c>
    </row>
    <row r="397" spans="1:34" x14ac:dyDescent="0.3">
      <c r="A397" s="4" t="s">
        <v>1297</v>
      </c>
      <c r="B397" s="4" t="s">
        <v>1298</v>
      </c>
      <c r="C397" s="4" t="s">
        <v>55</v>
      </c>
      <c r="D397" s="4" t="s">
        <v>588</v>
      </c>
      <c r="E397" s="4" t="s">
        <v>483</v>
      </c>
      <c r="F397" s="4" t="s">
        <v>484</v>
      </c>
      <c r="G397" s="4" t="s">
        <v>472</v>
      </c>
      <c r="H397" s="4" t="s">
        <v>516</v>
      </c>
      <c r="I397" s="4">
        <v>9</v>
      </c>
      <c r="J397" s="4">
        <v>7</v>
      </c>
      <c r="K397" s="4">
        <v>3</v>
      </c>
      <c r="L397" s="4">
        <v>167</v>
      </c>
      <c r="M397" s="4">
        <v>110</v>
      </c>
      <c r="N397" s="4">
        <v>41.75</v>
      </c>
      <c r="O397" s="4">
        <v>111.25</v>
      </c>
      <c r="P397" s="4">
        <v>0</v>
      </c>
      <c r="Q397" s="4">
        <v>0</v>
      </c>
      <c r="R397" s="4">
        <v>21</v>
      </c>
      <c r="S397" s="4">
        <v>6</v>
      </c>
      <c r="T397" s="4">
        <v>0</v>
      </c>
      <c r="U397" s="4">
        <v>8</v>
      </c>
      <c r="V397" s="4">
        <v>15.6</v>
      </c>
      <c r="W397" s="4">
        <v>9.41</v>
      </c>
      <c r="X397" s="4">
        <v>11.55</v>
      </c>
      <c r="Y397" s="4" t="s">
        <v>541</v>
      </c>
      <c r="Z397" s="4">
        <v>0</v>
      </c>
      <c r="AA397" s="4">
        <v>23.3</v>
      </c>
      <c r="AB397" s="4">
        <v>4</v>
      </c>
      <c r="AC397" s="4">
        <v>0</v>
      </c>
      <c r="AD397" s="4" t="s">
        <v>47</v>
      </c>
      <c r="AE397" s="3" t="s">
        <v>475</v>
      </c>
      <c r="AF397" s="4" t="s">
        <v>298</v>
      </c>
      <c r="AG397" s="4" t="s">
        <v>476</v>
      </c>
      <c r="AH397" s="4">
        <v>4</v>
      </c>
    </row>
    <row r="398" spans="1:34" x14ac:dyDescent="0.3">
      <c r="A398" s="7" t="s">
        <v>1299</v>
      </c>
      <c r="B398" s="7" t="s">
        <v>1300</v>
      </c>
      <c r="C398" s="7" t="s">
        <v>37</v>
      </c>
      <c r="D398" s="7" t="s">
        <v>555</v>
      </c>
      <c r="E398" s="7" t="s">
        <v>483</v>
      </c>
      <c r="F398" s="7" t="s">
        <v>471</v>
      </c>
      <c r="G398" s="7" t="s">
        <v>472</v>
      </c>
      <c r="H398" s="7" t="s">
        <v>514</v>
      </c>
      <c r="I398" s="7">
        <v>11</v>
      </c>
      <c r="J398" s="7">
        <v>10</v>
      </c>
      <c r="K398" s="7">
        <v>0</v>
      </c>
      <c r="L398" s="7">
        <v>244</v>
      </c>
      <c r="M398" s="7">
        <v>39</v>
      </c>
      <c r="N398" s="7">
        <v>24.4</v>
      </c>
      <c r="O398" s="7">
        <v>90.58</v>
      </c>
      <c r="P398" s="7">
        <v>0</v>
      </c>
      <c r="Q398" s="7">
        <v>0</v>
      </c>
      <c r="R398" s="7">
        <v>20</v>
      </c>
      <c r="S398" s="7">
        <v>12</v>
      </c>
      <c r="T398" s="7">
        <v>2</v>
      </c>
      <c r="U398" s="7">
        <v>16</v>
      </c>
      <c r="V398" s="7">
        <v>14.87</v>
      </c>
      <c r="W398" s="7">
        <v>6.8</v>
      </c>
      <c r="X398" s="7">
        <v>13.2</v>
      </c>
      <c r="Y398" s="7" t="s">
        <v>739</v>
      </c>
      <c r="Z398" s="7">
        <v>0</v>
      </c>
      <c r="AA398" s="7">
        <v>40.9</v>
      </c>
      <c r="AB398" s="7">
        <v>7</v>
      </c>
      <c r="AC398" s="7">
        <v>0</v>
      </c>
      <c r="AD398" s="7" t="s">
        <v>20</v>
      </c>
      <c r="AE398" s="8" t="s">
        <v>486</v>
      </c>
      <c r="AF398" s="7" t="s">
        <v>298</v>
      </c>
      <c r="AG398" s="7" t="s">
        <v>476</v>
      </c>
      <c r="AH398" s="7">
        <v>0.75</v>
      </c>
    </row>
    <row r="399" spans="1:34" x14ac:dyDescent="0.3">
      <c r="A399" s="4" t="s">
        <v>1301</v>
      </c>
      <c r="B399" s="4" t="s">
        <v>1302</v>
      </c>
      <c r="C399" s="4" t="s">
        <v>19</v>
      </c>
      <c r="D399" s="4" t="s">
        <v>469</v>
      </c>
      <c r="E399" s="4" t="s">
        <v>483</v>
      </c>
      <c r="F399" s="4" t="s">
        <v>484</v>
      </c>
      <c r="G399" s="4" t="s">
        <v>472</v>
      </c>
      <c r="H399" s="4" t="s">
        <v>516</v>
      </c>
      <c r="I399" s="4">
        <v>9</v>
      </c>
      <c r="J399" s="4">
        <v>7</v>
      </c>
      <c r="K399" s="4">
        <v>3</v>
      </c>
      <c r="L399" s="4">
        <v>167</v>
      </c>
      <c r="M399" s="4">
        <v>110</v>
      </c>
      <c r="N399" s="4">
        <v>41.75</v>
      </c>
      <c r="O399" s="4">
        <v>111.25</v>
      </c>
      <c r="P399" s="4">
        <v>0</v>
      </c>
      <c r="Q399" s="4">
        <v>0</v>
      </c>
      <c r="R399" s="4">
        <v>21</v>
      </c>
      <c r="S399" s="4">
        <v>6</v>
      </c>
      <c r="T399" s="4">
        <v>0</v>
      </c>
      <c r="U399" s="4">
        <v>8</v>
      </c>
      <c r="V399" s="4">
        <v>15.6</v>
      </c>
      <c r="W399" s="4">
        <v>9.41</v>
      </c>
      <c r="X399" s="4">
        <v>11.55</v>
      </c>
      <c r="Y399" s="4" t="s">
        <v>541</v>
      </c>
      <c r="Z399" s="4">
        <v>0</v>
      </c>
      <c r="AA399" s="4">
        <v>23.3</v>
      </c>
      <c r="AB399" s="4">
        <v>4</v>
      </c>
      <c r="AC399" s="4">
        <v>0</v>
      </c>
      <c r="AD399" s="4" t="s">
        <v>47</v>
      </c>
      <c r="AE399" s="3" t="s">
        <v>475</v>
      </c>
      <c r="AF399" s="4" t="s">
        <v>298</v>
      </c>
      <c r="AG399" s="4" t="s">
        <v>476</v>
      </c>
      <c r="AH399" s="4">
        <v>4</v>
      </c>
    </row>
    <row r="400" spans="1:34" x14ac:dyDescent="0.3">
      <c r="A400" s="7" t="s">
        <v>1303</v>
      </c>
      <c r="B400" s="7" t="s">
        <v>1304</v>
      </c>
      <c r="C400" s="7" t="s">
        <v>47</v>
      </c>
      <c r="D400" s="7" t="s">
        <v>717</v>
      </c>
      <c r="E400" s="7" t="s">
        <v>470</v>
      </c>
      <c r="F400" s="7" t="s">
        <v>471</v>
      </c>
      <c r="G400" s="7" t="s">
        <v>472</v>
      </c>
      <c r="H400" s="7" t="s">
        <v>556</v>
      </c>
      <c r="I400" s="7">
        <v>10</v>
      </c>
      <c r="J400" s="7">
        <v>8</v>
      </c>
      <c r="K400" s="7">
        <v>3</v>
      </c>
      <c r="L400" s="7">
        <v>220</v>
      </c>
      <c r="M400" s="7">
        <v>27</v>
      </c>
      <c r="N400" s="7">
        <v>44</v>
      </c>
      <c r="O400" s="7">
        <v>122.89</v>
      </c>
      <c r="P400" s="7">
        <v>0</v>
      </c>
      <c r="Q400" s="7">
        <v>0</v>
      </c>
      <c r="R400" s="7">
        <v>18</v>
      </c>
      <c r="S400" s="7">
        <v>11</v>
      </c>
      <c r="T400" s="7">
        <v>2</v>
      </c>
      <c r="U400" s="7">
        <v>11</v>
      </c>
      <c r="V400" s="7">
        <v>24.8</v>
      </c>
      <c r="W400" s="7">
        <v>10.119999999999999</v>
      </c>
      <c r="X400" s="7">
        <v>11.64</v>
      </c>
      <c r="Y400" s="7" t="s">
        <v>799</v>
      </c>
      <c r="Z400" s="7">
        <v>0</v>
      </c>
      <c r="AA400" s="7">
        <v>37.9</v>
      </c>
      <c r="AB400" s="7">
        <v>5</v>
      </c>
      <c r="AC400" s="7">
        <v>0</v>
      </c>
      <c r="AD400" s="7" t="s">
        <v>37</v>
      </c>
      <c r="AE400" s="3" t="s">
        <v>475</v>
      </c>
      <c r="AF400" s="7" t="s">
        <v>357</v>
      </c>
      <c r="AG400" s="7" t="s">
        <v>476</v>
      </c>
      <c r="AH400" s="7">
        <v>0.2</v>
      </c>
    </row>
    <row r="401" spans="1:34" x14ac:dyDescent="0.3">
      <c r="A401" s="4" t="s">
        <v>1305</v>
      </c>
      <c r="B401" s="4" t="s">
        <v>1306</v>
      </c>
      <c r="C401" s="4" t="s">
        <v>20</v>
      </c>
      <c r="D401" s="4" t="s">
        <v>523</v>
      </c>
      <c r="E401" s="4" t="s">
        <v>489</v>
      </c>
      <c r="F401" s="4" t="s">
        <v>490</v>
      </c>
      <c r="G401" s="4" t="s">
        <v>491</v>
      </c>
      <c r="H401" s="4" t="s">
        <v>492</v>
      </c>
      <c r="I401" s="4">
        <v>13</v>
      </c>
      <c r="J401" s="4">
        <v>12</v>
      </c>
      <c r="K401" s="4">
        <v>3</v>
      </c>
      <c r="L401" s="4">
        <v>175</v>
      </c>
      <c r="M401" s="4">
        <v>91</v>
      </c>
      <c r="N401" s="4">
        <v>19.440000000000001</v>
      </c>
      <c r="O401" s="4">
        <v>152.94999999999999</v>
      </c>
      <c r="P401" s="4">
        <v>0</v>
      </c>
      <c r="Q401" s="4">
        <v>0</v>
      </c>
      <c r="R401" s="4">
        <v>17</v>
      </c>
      <c r="S401" s="4">
        <v>10</v>
      </c>
      <c r="T401" s="4">
        <v>0</v>
      </c>
      <c r="U401" s="4">
        <v>0</v>
      </c>
      <c r="V401" s="4" t="s">
        <v>493</v>
      </c>
      <c r="W401" s="4" t="s">
        <v>493</v>
      </c>
      <c r="X401" s="4" t="s">
        <v>493</v>
      </c>
      <c r="Y401" s="4" t="s">
        <v>493</v>
      </c>
      <c r="Z401" s="4">
        <v>0</v>
      </c>
      <c r="AA401" s="4">
        <v>0</v>
      </c>
      <c r="AB401" s="4">
        <v>11</v>
      </c>
      <c r="AC401" s="4">
        <v>0</v>
      </c>
      <c r="AD401" s="4" t="s">
        <v>55</v>
      </c>
      <c r="AE401" s="8" t="s">
        <v>486</v>
      </c>
      <c r="AF401" s="4" t="s">
        <v>176</v>
      </c>
      <c r="AG401" s="4" t="s">
        <v>476</v>
      </c>
      <c r="AH401" s="4">
        <v>7.5</v>
      </c>
    </row>
    <row r="402" spans="1:34" x14ac:dyDescent="0.3">
      <c r="A402" s="7" t="s">
        <v>1307</v>
      </c>
      <c r="B402" s="7" t="s">
        <v>1308</v>
      </c>
      <c r="C402" s="7" t="s">
        <v>81</v>
      </c>
      <c r="D402" s="7" t="s">
        <v>750</v>
      </c>
      <c r="E402" s="7" t="s">
        <v>483</v>
      </c>
      <c r="F402" s="7" t="s">
        <v>471</v>
      </c>
      <c r="G402" s="7" t="s">
        <v>472</v>
      </c>
      <c r="H402" s="7" t="s">
        <v>514</v>
      </c>
      <c r="I402" s="7">
        <v>8</v>
      </c>
      <c r="J402" s="7">
        <v>7</v>
      </c>
      <c r="K402" s="7">
        <v>3</v>
      </c>
      <c r="L402" s="7">
        <v>80</v>
      </c>
      <c r="M402" s="7">
        <v>18</v>
      </c>
      <c r="N402" s="7">
        <v>20</v>
      </c>
      <c r="O402" s="7">
        <v>104.74</v>
      </c>
      <c r="P402" s="7">
        <v>0</v>
      </c>
      <c r="Q402" s="7">
        <v>0</v>
      </c>
      <c r="R402" s="7">
        <v>6</v>
      </c>
      <c r="S402" s="7">
        <v>4</v>
      </c>
      <c r="T402" s="7">
        <v>2</v>
      </c>
      <c r="U402" s="7">
        <v>7</v>
      </c>
      <c r="V402" s="7">
        <v>31.15</v>
      </c>
      <c r="W402" s="7">
        <v>10.06</v>
      </c>
      <c r="X402" s="7">
        <v>15.87</v>
      </c>
      <c r="Y402" s="7" t="s">
        <v>583</v>
      </c>
      <c r="Z402" s="7">
        <v>0</v>
      </c>
      <c r="AA402" s="7">
        <v>29.7</v>
      </c>
      <c r="AB402" s="7">
        <v>3</v>
      </c>
      <c r="AC402" s="7">
        <v>0</v>
      </c>
      <c r="AD402" s="7" t="s">
        <v>142</v>
      </c>
      <c r="AE402" s="3" t="s">
        <v>475</v>
      </c>
      <c r="AF402" s="7" t="s">
        <v>328</v>
      </c>
      <c r="AG402" s="7" t="s">
        <v>476</v>
      </c>
      <c r="AH402" s="7">
        <v>1</v>
      </c>
    </row>
    <row r="403" spans="1:34" x14ac:dyDescent="0.3">
      <c r="A403" s="4" t="s">
        <v>1309</v>
      </c>
      <c r="B403" s="4" t="s">
        <v>1310</v>
      </c>
      <c r="C403" s="4" t="s">
        <v>28</v>
      </c>
      <c r="D403" s="4" t="s">
        <v>779</v>
      </c>
      <c r="E403" s="4" t="s">
        <v>483</v>
      </c>
      <c r="F403" s="4" t="s">
        <v>490</v>
      </c>
      <c r="G403" s="4" t="s">
        <v>491</v>
      </c>
      <c r="H403" s="4" t="s">
        <v>492</v>
      </c>
      <c r="I403" s="4">
        <v>11</v>
      </c>
      <c r="J403" s="4">
        <v>10</v>
      </c>
      <c r="K403" s="4">
        <v>1</v>
      </c>
      <c r="L403" s="4">
        <v>382</v>
      </c>
      <c r="M403" s="4">
        <v>33</v>
      </c>
      <c r="N403" s="4">
        <v>42.44</v>
      </c>
      <c r="O403" s="4">
        <v>176.49</v>
      </c>
      <c r="P403" s="4">
        <v>0</v>
      </c>
      <c r="Q403" s="4">
        <v>0</v>
      </c>
      <c r="R403" s="4">
        <v>47</v>
      </c>
      <c r="S403" s="4">
        <v>24</v>
      </c>
      <c r="T403" s="4">
        <v>0</v>
      </c>
      <c r="U403" s="4">
        <v>0</v>
      </c>
      <c r="V403" s="4" t="s">
        <v>493</v>
      </c>
      <c r="W403" s="4" t="s">
        <v>493</v>
      </c>
      <c r="X403" s="4" t="s">
        <v>493</v>
      </c>
      <c r="Y403" s="4" t="s">
        <v>493</v>
      </c>
      <c r="Z403" s="4">
        <v>0</v>
      </c>
      <c r="AA403" s="4">
        <v>0</v>
      </c>
      <c r="AB403" s="4">
        <v>7</v>
      </c>
      <c r="AC403" s="4">
        <v>0</v>
      </c>
      <c r="AD403" s="4" t="s">
        <v>142</v>
      </c>
      <c r="AE403" s="8" t="s">
        <v>486</v>
      </c>
      <c r="AF403" s="4" t="s">
        <v>253</v>
      </c>
      <c r="AG403" s="4" t="s">
        <v>502</v>
      </c>
      <c r="AH403" s="4">
        <v>0.5</v>
      </c>
    </row>
    <row r="404" spans="1:34" x14ac:dyDescent="0.3">
      <c r="A404" s="7" t="s">
        <v>1311</v>
      </c>
      <c r="B404" s="7" t="s">
        <v>1312</v>
      </c>
      <c r="C404" s="7" t="s">
        <v>19</v>
      </c>
      <c r="D404" s="7" t="s">
        <v>469</v>
      </c>
      <c r="E404" s="7" t="s">
        <v>483</v>
      </c>
      <c r="F404" s="7" t="s">
        <v>490</v>
      </c>
      <c r="G404" s="7" t="s">
        <v>491</v>
      </c>
      <c r="H404" s="7" t="s">
        <v>492</v>
      </c>
      <c r="I404" s="7">
        <v>10</v>
      </c>
      <c r="J404" s="7">
        <v>10</v>
      </c>
      <c r="K404" s="7">
        <v>2</v>
      </c>
      <c r="L404" s="7">
        <v>234</v>
      </c>
      <c r="M404" s="7">
        <v>95</v>
      </c>
      <c r="N404" s="7">
        <v>29.25</v>
      </c>
      <c r="O404" s="7">
        <v>119.12</v>
      </c>
      <c r="P404" s="7">
        <v>0</v>
      </c>
      <c r="Q404" s="7">
        <v>0</v>
      </c>
      <c r="R404" s="7">
        <v>23</v>
      </c>
      <c r="S404" s="7">
        <v>26</v>
      </c>
      <c r="T404" s="7">
        <v>0</v>
      </c>
      <c r="U404" s="7">
        <v>0</v>
      </c>
      <c r="V404" s="7" t="s">
        <v>493</v>
      </c>
      <c r="W404" s="7" t="s">
        <v>493</v>
      </c>
      <c r="X404" s="7" t="s">
        <v>493</v>
      </c>
      <c r="Y404" s="7" t="s">
        <v>493</v>
      </c>
      <c r="Z404" s="7">
        <v>0</v>
      </c>
      <c r="AA404" s="7">
        <v>0</v>
      </c>
      <c r="AB404" s="7">
        <v>10</v>
      </c>
      <c r="AC404" s="7">
        <v>0</v>
      </c>
      <c r="AD404" s="7" t="s">
        <v>81</v>
      </c>
      <c r="AE404" s="3" t="s">
        <v>475</v>
      </c>
      <c r="AF404" s="7" t="s">
        <v>289</v>
      </c>
      <c r="AG404" s="7" t="s">
        <v>502</v>
      </c>
      <c r="AH404" s="7">
        <v>0.4</v>
      </c>
    </row>
    <row r="405" spans="1:34" x14ac:dyDescent="0.3">
      <c r="A405" s="4" t="s">
        <v>1313</v>
      </c>
      <c r="B405" s="4" t="s">
        <v>1314</v>
      </c>
      <c r="C405" s="4" t="s">
        <v>37</v>
      </c>
      <c r="D405" s="4" t="s">
        <v>555</v>
      </c>
      <c r="E405" s="4" t="s">
        <v>489</v>
      </c>
      <c r="F405" s="4" t="s">
        <v>490</v>
      </c>
      <c r="G405" s="4" t="s">
        <v>472</v>
      </c>
      <c r="H405" s="4" t="s">
        <v>492</v>
      </c>
      <c r="I405" s="4">
        <v>12</v>
      </c>
      <c r="J405" s="4">
        <v>12</v>
      </c>
      <c r="K405" s="4">
        <v>1</v>
      </c>
      <c r="L405" s="4">
        <v>582</v>
      </c>
      <c r="M405" s="4">
        <v>120</v>
      </c>
      <c r="N405" s="4">
        <v>52.91</v>
      </c>
      <c r="O405" s="4">
        <v>162.52000000000001</v>
      </c>
      <c r="P405" s="4">
        <v>1</v>
      </c>
      <c r="Q405" s="4">
        <v>0</v>
      </c>
      <c r="R405" s="4">
        <v>62</v>
      </c>
      <c r="S405" s="4">
        <v>42</v>
      </c>
      <c r="T405" s="4">
        <v>0</v>
      </c>
      <c r="U405" s="4">
        <v>0</v>
      </c>
      <c r="V405" s="4" t="s">
        <v>493</v>
      </c>
      <c r="W405" s="4" t="s">
        <v>493</v>
      </c>
      <c r="X405" s="4" t="s">
        <v>493</v>
      </c>
      <c r="Y405" s="4" t="s">
        <v>493</v>
      </c>
      <c r="Z405" s="4">
        <v>0</v>
      </c>
      <c r="AA405" s="4">
        <v>0</v>
      </c>
      <c r="AB405" s="4">
        <v>10</v>
      </c>
      <c r="AC405" s="4">
        <v>0</v>
      </c>
      <c r="AD405" s="4" t="s">
        <v>142</v>
      </c>
      <c r="AE405" s="8" t="s">
        <v>486</v>
      </c>
      <c r="AF405" s="4" t="s">
        <v>337</v>
      </c>
      <c r="AG405" s="4" t="s">
        <v>476</v>
      </c>
      <c r="AH405" s="4">
        <v>10</v>
      </c>
    </row>
    <row r="406" spans="1:34" x14ac:dyDescent="0.3">
      <c r="A406" s="7" t="s">
        <v>1315</v>
      </c>
      <c r="B406" s="7" t="s">
        <v>1316</v>
      </c>
      <c r="C406" s="7" t="s">
        <v>28</v>
      </c>
      <c r="D406" s="7" t="s">
        <v>779</v>
      </c>
      <c r="E406" s="7" t="s">
        <v>483</v>
      </c>
      <c r="F406" s="7" t="s">
        <v>471</v>
      </c>
      <c r="G406" s="7" t="s">
        <v>491</v>
      </c>
      <c r="H406" s="7" t="s">
        <v>473</v>
      </c>
      <c r="I406" s="7">
        <v>9</v>
      </c>
      <c r="J406" s="7">
        <v>8</v>
      </c>
      <c r="K406" s="7">
        <v>2</v>
      </c>
      <c r="L406" s="7">
        <v>173</v>
      </c>
      <c r="M406" s="7">
        <v>37</v>
      </c>
      <c r="N406" s="7">
        <v>28.83</v>
      </c>
      <c r="O406" s="7">
        <v>127.32</v>
      </c>
      <c r="P406" s="7">
        <v>0</v>
      </c>
      <c r="Q406" s="7">
        <v>0</v>
      </c>
      <c r="R406" s="7">
        <v>14</v>
      </c>
      <c r="S406" s="7">
        <v>8</v>
      </c>
      <c r="T406" s="7">
        <v>3</v>
      </c>
      <c r="U406" s="7">
        <v>6</v>
      </c>
      <c r="V406" s="7">
        <v>15.44</v>
      </c>
      <c r="W406" s="7">
        <v>8.42</v>
      </c>
      <c r="X406" s="7">
        <v>19.11</v>
      </c>
      <c r="Y406" s="7" t="s">
        <v>631</v>
      </c>
      <c r="Z406" s="7">
        <v>0</v>
      </c>
      <c r="AA406" s="7">
        <v>31.6</v>
      </c>
      <c r="AB406" s="7">
        <v>2</v>
      </c>
      <c r="AC406" s="7">
        <v>0</v>
      </c>
      <c r="AD406" s="7" t="s">
        <v>81</v>
      </c>
      <c r="AE406" s="8" t="s">
        <v>486</v>
      </c>
      <c r="AF406" s="7" t="s">
        <v>196</v>
      </c>
      <c r="AG406" s="7" t="s">
        <v>476</v>
      </c>
      <c r="AH406" s="7">
        <v>6</v>
      </c>
    </row>
    <row r="407" spans="1:34" x14ac:dyDescent="0.3">
      <c r="A407" s="4" t="s">
        <v>1317</v>
      </c>
      <c r="B407" s="4" t="s">
        <v>1318</v>
      </c>
      <c r="C407" s="4" t="s">
        <v>55</v>
      </c>
      <c r="D407" s="4" t="s">
        <v>588</v>
      </c>
      <c r="E407" s="4" t="s">
        <v>543</v>
      </c>
      <c r="F407" s="4" t="s">
        <v>490</v>
      </c>
      <c r="G407" s="4" t="s">
        <v>491</v>
      </c>
      <c r="H407" s="4" t="s">
        <v>492</v>
      </c>
      <c r="I407" s="4">
        <v>11</v>
      </c>
      <c r="J407" s="4">
        <v>9</v>
      </c>
      <c r="K407" s="4">
        <v>0</v>
      </c>
      <c r="L407" s="4">
        <v>254</v>
      </c>
      <c r="M407" s="4">
        <v>100</v>
      </c>
      <c r="N407" s="4">
        <v>28.22</v>
      </c>
      <c r="O407" s="4">
        <v>148.43</v>
      </c>
      <c r="P407" s="4">
        <v>0</v>
      </c>
      <c r="Q407" s="4">
        <v>0</v>
      </c>
      <c r="R407" s="4">
        <v>26</v>
      </c>
      <c r="S407" s="4">
        <v>23</v>
      </c>
      <c r="T407" s="4">
        <v>0</v>
      </c>
      <c r="U407" s="4">
        <v>0</v>
      </c>
      <c r="V407" s="4" t="s">
        <v>493</v>
      </c>
      <c r="W407" s="4" t="s">
        <v>493</v>
      </c>
      <c r="X407" s="4" t="s">
        <v>493</v>
      </c>
      <c r="Y407" s="4" t="s">
        <v>493</v>
      </c>
      <c r="Z407" s="4">
        <v>0</v>
      </c>
      <c r="AA407" s="4">
        <v>0</v>
      </c>
      <c r="AB407" s="4">
        <v>9</v>
      </c>
      <c r="AC407" s="4">
        <v>0</v>
      </c>
      <c r="AD407" s="4" t="s">
        <v>142</v>
      </c>
      <c r="AE407" s="3" t="s">
        <v>475</v>
      </c>
      <c r="AF407" s="4" t="s">
        <v>229</v>
      </c>
      <c r="AG407" s="4" t="s">
        <v>476</v>
      </c>
      <c r="AH407" s="4">
        <v>5</v>
      </c>
    </row>
    <row r="408" spans="1:34" x14ac:dyDescent="0.3">
      <c r="A408" s="7" t="s">
        <v>1319</v>
      </c>
      <c r="B408" s="7" t="s">
        <v>1320</v>
      </c>
      <c r="C408" s="7" t="s">
        <v>28</v>
      </c>
      <c r="D408" s="7" t="s">
        <v>779</v>
      </c>
      <c r="E408" s="7" t="s">
        <v>483</v>
      </c>
      <c r="F408" s="7" t="s">
        <v>484</v>
      </c>
      <c r="G408" s="7" t="s">
        <v>472</v>
      </c>
      <c r="H408" s="7" t="s">
        <v>509</v>
      </c>
      <c r="I408" s="7">
        <v>13</v>
      </c>
      <c r="J408" s="7">
        <v>12</v>
      </c>
      <c r="K408" s="7">
        <v>1</v>
      </c>
      <c r="L408" s="7">
        <v>523</v>
      </c>
      <c r="M408" s="7">
        <v>88</v>
      </c>
      <c r="N408" s="7">
        <v>47.55</v>
      </c>
      <c r="O408" s="7">
        <v>129.71</v>
      </c>
      <c r="P408" s="7">
        <v>1</v>
      </c>
      <c r="Q408" s="7">
        <v>0</v>
      </c>
      <c r="R408" s="7">
        <v>61</v>
      </c>
      <c r="S408" s="7">
        <v>34</v>
      </c>
      <c r="T408" s="7">
        <v>0</v>
      </c>
      <c r="U408" s="7">
        <v>12</v>
      </c>
      <c r="V408" s="7">
        <v>22.7</v>
      </c>
      <c r="W408" s="7">
        <v>8.8000000000000007</v>
      </c>
      <c r="X408" s="7">
        <v>17.95</v>
      </c>
      <c r="Y408" s="7" t="s">
        <v>532</v>
      </c>
      <c r="Z408" s="7">
        <v>0</v>
      </c>
      <c r="AA408" s="7">
        <v>46.7</v>
      </c>
      <c r="AB408" s="7">
        <v>10</v>
      </c>
      <c r="AC408" s="7">
        <v>0</v>
      </c>
      <c r="AD408" s="7" t="s">
        <v>38</v>
      </c>
      <c r="AE408" s="8" t="s">
        <v>486</v>
      </c>
      <c r="AF408" s="7" t="s">
        <v>406</v>
      </c>
      <c r="AG408" s="7" t="s">
        <v>476</v>
      </c>
      <c r="AH408" s="7">
        <v>5</v>
      </c>
    </row>
    <row r="409" spans="1:34" x14ac:dyDescent="0.3">
      <c r="A409" s="4" t="s">
        <v>1321</v>
      </c>
      <c r="B409" s="4" t="s">
        <v>1322</v>
      </c>
      <c r="C409" s="4" t="s">
        <v>20</v>
      </c>
      <c r="D409" s="4" t="s">
        <v>523</v>
      </c>
      <c r="E409" s="4" t="s">
        <v>483</v>
      </c>
      <c r="F409" s="4" t="s">
        <v>490</v>
      </c>
      <c r="G409" s="4" t="s">
        <v>491</v>
      </c>
      <c r="H409" s="4" t="s">
        <v>492</v>
      </c>
      <c r="I409" s="4">
        <v>10</v>
      </c>
      <c r="J409" s="4">
        <v>10</v>
      </c>
      <c r="K409" s="4">
        <v>2</v>
      </c>
      <c r="L409" s="4">
        <v>234</v>
      </c>
      <c r="M409" s="4">
        <v>95</v>
      </c>
      <c r="N409" s="4">
        <v>29.25</v>
      </c>
      <c r="O409" s="4">
        <v>119.12</v>
      </c>
      <c r="P409" s="4">
        <v>0</v>
      </c>
      <c r="Q409" s="4">
        <v>0</v>
      </c>
      <c r="R409" s="4">
        <v>23</v>
      </c>
      <c r="S409" s="4">
        <v>26</v>
      </c>
      <c r="T409" s="4">
        <v>0</v>
      </c>
      <c r="U409" s="4">
        <v>0</v>
      </c>
      <c r="V409" s="4" t="s">
        <v>493</v>
      </c>
      <c r="W409" s="4" t="s">
        <v>493</v>
      </c>
      <c r="X409" s="4" t="s">
        <v>493</v>
      </c>
      <c r="Y409" s="4" t="s">
        <v>493</v>
      </c>
      <c r="Z409" s="4">
        <v>0</v>
      </c>
      <c r="AA409" s="4">
        <v>0</v>
      </c>
      <c r="AB409" s="4">
        <v>10</v>
      </c>
      <c r="AC409" s="4">
        <v>0</v>
      </c>
      <c r="AD409" s="4" t="s">
        <v>81</v>
      </c>
      <c r="AE409" s="3" t="s">
        <v>475</v>
      </c>
      <c r="AF409" s="4" t="s">
        <v>289</v>
      </c>
      <c r="AG409" s="4" t="s">
        <v>502</v>
      </c>
      <c r="AH409" s="4">
        <v>0.4</v>
      </c>
    </row>
    <row r="410" spans="1:34" x14ac:dyDescent="0.3">
      <c r="A410" s="7" t="s">
        <v>1323</v>
      </c>
      <c r="B410" s="7" t="s">
        <v>1324</v>
      </c>
      <c r="C410" s="7" t="s">
        <v>142</v>
      </c>
      <c r="D410" s="7" t="s">
        <v>684</v>
      </c>
      <c r="E410" s="7" t="s">
        <v>483</v>
      </c>
      <c r="F410" s="7" t="s">
        <v>484</v>
      </c>
      <c r="G410" s="7" t="s">
        <v>472</v>
      </c>
      <c r="H410" s="7" t="s">
        <v>514</v>
      </c>
      <c r="I410" s="7">
        <v>11</v>
      </c>
      <c r="J410" s="7">
        <v>10</v>
      </c>
      <c r="K410" s="7">
        <v>3</v>
      </c>
      <c r="L410" s="7">
        <v>187</v>
      </c>
      <c r="M410" s="7">
        <v>60</v>
      </c>
      <c r="N410" s="7">
        <v>26.71</v>
      </c>
      <c r="O410" s="7">
        <v>153.07</v>
      </c>
      <c r="P410" s="7">
        <v>0</v>
      </c>
      <c r="Q410" s="7">
        <v>0</v>
      </c>
      <c r="R410" s="7">
        <v>24</v>
      </c>
      <c r="S410" s="7">
        <v>11</v>
      </c>
      <c r="T410" s="7">
        <v>0</v>
      </c>
      <c r="U410" s="7">
        <v>5</v>
      </c>
      <c r="V410" s="7">
        <v>15.55</v>
      </c>
      <c r="W410" s="7">
        <v>10.28</v>
      </c>
      <c r="X410" s="7">
        <v>16.78</v>
      </c>
      <c r="Y410" s="7" t="s">
        <v>572</v>
      </c>
      <c r="Z410" s="7">
        <v>0</v>
      </c>
      <c r="AA410" s="7">
        <v>30.9</v>
      </c>
      <c r="AB410" s="7">
        <v>9</v>
      </c>
      <c r="AC410" s="7">
        <v>0</v>
      </c>
      <c r="AD410" s="7" t="s">
        <v>37</v>
      </c>
      <c r="AE410" s="8" t="s">
        <v>486</v>
      </c>
      <c r="AF410" s="7" t="s">
        <v>274</v>
      </c>
      <c r="AG410" s="7" t="s">
        <v>476</v>
      </c>
      <c r="AH410" s="7">
        <v>0.4</v>
      </c>
    </row>
    <row r="411" spans="1:34" x14ac:dyDescent="0.3">
      <c r="A411" s="4" t="s">
        <v>1325</v>
      </c>
      <c r="B411" s="4" t="s">
        <v>1326</v>
      </c>
      <c r="C411" s="4" t="s">
        <v>142</v>
      </c>
      <c r="D411" s="4" t="s">
        <v>684</v>
      </c>
      <c r="E411" s="4" t="s">
        <v>489</v>
      </c>
      <c r="F411" s="4" t="s">
        <v>484</v>
      </c>
      <c r="G411" s="4" t="s">
        <v>472</v>
      </c>
      <c r="H411" s="4" t="s">
        <v>480</v>
      </c>
      <c r="I411" s="4">
        <v>14</v>
      </c>
      <c r="J411" s="4">
        <v>12</v>
      </c>
      <c r="K411" s="4">
        <v>0</v>
      </c>
      <c r="L411" s="4">
        <v>370</v>
      </c>
      <c r="M411" s="4">
        <v>116</v>
      </c>
      <c r="N411" s="4">
        <v>30.83</v>
      </c>
      <c r="O411" s="4">
        <v>176.54</v>
      </c>
      <c r="P411" s="4">
        <v>0</v>
      </c>
      <c r="Q411" s="4">
        <v>0</v>
      </c>
      <c r="R411" s="4">
        <v>36</v>
      </c>
      <c r="S411" s="4">
        <v>18</v>
      </c>
      <c r="T411" s="4">
        <v>1</v>
      </c>
      <c r="U411" s="4">
        <v>8</v>
      </c>
      <c r="V411" s="4">
        <v>21.7</v>
      </c>
      <c r="W411" s="4">
        <v>7.75</v>
      </c>
      <c r="X411" s="4">
        <v>14.72</v>
      </c>
      <c r="Y411" s="4" t="s">
        <v>616</v>
      </c>
      <c r="Z411" s="4">
        <v>0</v>
      </c>
      <c r="AA411" s="4">
        <v>43.8</v>
      </c>
      <c r="AB411" s="4">
        <v>2</v>
      </c>
      <c r="AC411" s="4">
        <v>0</v>
      </c>
      <c r="AD411" s="4" t="s">
        <v>28</v>
      </c>
      <c r="AE411" s="8" t="s">
        <v>486</v>
      </c>
      <c r="AF411" s="4" t="s">
        <v>134</v>
      </c>
      <c r="AG411" s="4" t="s">
        <v>476</v>
      </c>
      <c r="AH411" s="4">
        <v>4</v>
      </c>
    </row>
    <row r="412" spans="1:34" x14ac:dyDescent="0.3">
      <c r="A412" s="7" t="s">
        <v>1327</v>
      </c>
      <c r="B412" s="7" t="s">
        <v>1328</v>
      </c>
      <c r="C412" s="7" t="s">
        <v>47</v>
      </c>
      <c r="D412" s="7" t="s">
        <v>717</v>
      </c>
      <c r="E412" s="7" t="s">
        <v>597</v>
      </c>
      <c r="F412" s="7" t="s">
        <v>471</v>
      </c>
      <c r="G412" s="7" t="s">
        <v>491</v>
      </c>
      <c r="H412" s="7" t="s">
        <v>556</v>
      </c>
      <c r="I412" s="7">
        <v>13</v>
      </c>
      <c r="J412" s="7">
        <v>13</v>
      </c>
      <c r="K412" s="7">
        <v>0</v>
      </c>
      <c r="L412" s="7">
        <v>186</v>
      </c>
      <c r="M412" s="7">
        <v>39</v>
      </c>
      <c r="N412" s="7">
        <v>14.31</v>
      </c>
      <c r="O412" s="7">
        <v>125.79</v>
      </c>
      <c r="P412" s="7">
        <v>0</v>
      </c>
      <c r="Q412" s="7">
        <v>0</v>
      </c>
      <c r="R412" s="7">
        <v>15</v>
      </c>
      <c r="S412" s="7">
        <v>9</v>
      </c>
      <c r="T412" s="7">
        <v>2</v>
      </c>
      <c r="U412" s="7">
        <v>14</v>
      </c>
      <c r="V412" s="7">
        <v>23.48</v>
      </c>
      <c r="W412" s="7">
        <v>7.48</v>
      </c>
      <c r="X412" s="7">
        <v>14.57</v>
      </c>
      <c r="Y412" s="7" t="s">
        <v>552</v>
      </c>
      <c r="Z412" s="7">
        <v>0</v>
      </c>
      <c r="AA412" s="7">
        <v>44.2</v>
      </c>
      <c r="AB412" s="7">
        <v>10</v>
      </c>
      <c r="AC412" s="7">
        <v>0</v>
      </c>
      <c r="AD412" s="7" t="s">
        <v>38</v>
      </c>
      <c r="AE412" s="8" t="s">
        <v>486</v>
      </c>
      <c r="AF412" s="7" t="s">
        <v>66</v>
      </c>
      <c r="AG412" s="7" t="s">
        <v>476</v>
      </c>
      <c r="AH412" s="7">
        <v>0.4</v>
      </c>
    </row>
    <row r="413" spans="1:34" x14ac:dyDescent="0.3">
      <c r="A413" s="4" t="s">
        <v>1329</v>
      </c>
      <c r="B413" s="4" t="s">
        <v>1330</v>
      </c>
      <c r="C413" s="4" t="s">
        <v>47</v>
      </c>
      <c r="D413" s="4" t="s">
        <v>717</v>
      </c>
      <c r="E413" s="4" t="s">
        <v>470</v>
      </c>
      <c r="F413" s="4" t="s">
        <v>490</v>
      </c>
      <c r="G413" s="4" t="s">
        <v>472</v>
      </c>
      <c r="H413" s="4" t="s">
        <v>492</v>
      </c>
      <c r="I413" s="4">
        <v>9</v>
      </c>
      <c r="J413" s="4">
        <v>7</v>
      </c>
      <c r="K413" s="4">
        <v>2</v>
      </c>
      <c r="L413" s="4">
        <v>144</v>
      </c>
      <c r="M413" s="4">
        <v>91</v>
      </c>
      <c r="N413" s="4">
        <v>28.8</v>
      </c>
      <c r="O413" s="4">
        <v>149.19999999999999</v>
      </c>
      <c r="P413" s="4">
        <v>0</v>
      </c>
      <c r="Q413" s="4">
        <v>0</v>
      </c>
      <c r="R413" s="4">
        <v>18</v>
      </c>
      <c r="S413" s="4">
        <v>8</v>
      </c>
      <c r="T413" s="4">
        <v>0</v>
      </c>
      <c r="U413" s="4">
        <v>0</v>
      </c>
      <c r="V413" s="4" t="s">
        <v>493</v>
      </c>
      <c r="W413" s="4" t="s">
        <v>493</v>
      </c>
      <c r="X413" s="4" t="s">
        <v>493</v>
      </c>
      <c r="Y413" s="4" t="s">
        <v>493</v>
      </c>
      <c r="Z413" s="4">
        <v>0</v>
      </c>
      <c r="AA413" s="4">
        <v>0</v>
      </c>
      <c r="AB413" s="4">
        <v>2</v>
      </c>
      <c r="AC413" s="4">
        <v>0</v>
      </c>
      <c r="AD413" s="4" t="s">
        <v>28</v>
      </c>
      <c r="AE413" s="8" t="s">
        <v>486</v>
      </c>
      <c r="AF413" s="4" t="s">
        <v>372</v>
      </c>
      <c r="AG413" s="4" t="s">
        <v>476</v>
      </c>
      <c r="AH413" s="4">
        <v>0.5</v>
      </c>
    </row>
    <row r="414" spans="1:34" x14ac:dyDescent="0.3">
      <c r="A414" s="7" t="s">
        <v>1331</v>
      </c>
      <c r="B414" s="7" t="s">
        <v>1332</v>
      </c>
      <c r="C414" s="7" t="s">
        <v>81</v>
      </c>
      <c r="D414" s="7" t="s">
        <v>750</v>
      </c>
      <c r="E414" s="7" t="s">
        <v>483</v>
      </c>
      <c r="F414" s="7" t="s">
        <v>484</v>
      </c>
      <c r="G414" s="7" t="s">
        <v>472</v>
      </c>
      <c r="H414" s="7" t="s">
        <v>516</v>
      </c>
      <c r="I414" s="7">
        <v>9</v>
      </c>
      <c r="J414" s="7">
        <v>7</v>
      </c>
      <c r="K414" s="7">
        <v>3</v>
      </c>
      <c r="L414" s="7">
        <v>167</v>
      </c>
      <c r="M414" s="7">
        <v>110</v>
      </c>
      <c r="N414" s="7">
        <v>41.75</v>
      </c>
      <c r="O414" s="7">
        <v>111.25</v>
      </c>
      <c r="P414" s="7">
        <v>0</v>
      </c>
      <c r="Q414" s="7">
        <v>0</v>
      </c>
      <c r="R414" s="7">
        <v>21</v>
      </c>
      <c r="S414" s="7">
        <v>6</v>
      </c>
      <c r="T414" s="7">
        <v>0</v>
      </c>
      <c r="U414" s="7">
        <v>8</v>
      </c>
      <c r="V414" s="7">
        <v>15.6</v>
      </c>
      <c r="W414" s="7">
        <v>9.41</v>
      </c>
      <c r="X414" s="7">
        <v>11.55</v>
      </c>
      <c r="Y414" s="7" t="s">
        <v>541</v>
      </c>
      <c r="Z414" s="7">
        <v>0</v>
      </c>
      <c r="AA414" s="7">
        <v>23.3</v>
      </c>
      <c r="AB414" s="7">
        <v>4</v>
      </c>
      <c r="AC414" s="7">
        <v>0</v>
      </c>
      <c r="AD414" s="7" t="s">
        <v>47</v>
      </c>
      <c r="AE414" s="3" t="s">
        <v>475</v>
      </c>
      <c r="AF414" s="7" t="s">
        <v>298</v>
      </c>
      <c r="AG414" s="7" t="s">
        <v>476</v>
      </c>
      <c r="AH414" s="7">
        <v>4</v>
      </c>
    </row>
    <row r="415" spans="1:34" x14ac:dyDescent="0.3">
      <c r="A415" s="4" t="s">
        <v>1333</v>
      </c>
      <c r="B415" s="4" t="s">
        <v>1334</v>
      </c>
      <c r="C415" s="4" t="s">
        <v>142</v>
      </c>
      <c r="D415" s="4" t="s">
        <v>684</v>
      </c>
      <c r="E415" s="4" t="s">
        <v>483</v>
      </c>
      <c r="F415" s="4" t="s">
        <v>490</v>
      </c>
      <c r="G415" s="4" t="s">
        <v>491</v>
      </c>
      <c r="H415" s="4" t="s">
        <v>492</v>
      </c>
      <c r="I415" s="4">
        <v>11</v>
      </c>
      <c r="J415" s="4">
        <v>10</v>
      </c>
      <c r="K415" s="4">
        <v>1</v>
      </c>
      <c r="L415" s="4">
        <v>382</v>
      </c>
      <c r="M415" s="4">
        <v>33</v>
      </c>
      <c r="N415" s="4">
        <v>42.44</v>
      </c>
      <c r="O415" s="4">
        <v>176.49</v>
      </c>
      <c r="P415" s="4">
        <v>0</v>
      </c>
      <c r="Q415" s="4">
        <v>0</v>
      </c>
      <c r="R415" s="4">
        <v>47</v>
      </c>
      <c r="S415" s="4">
        <v>24</v>
      </c>
      <c r="T415" s="4">
        <v>0</v>
      </c>
      <c r="U415" s="4">
        <v>0</v>
      </c>
      <c r="V415" s="4" t="s">
        <v>493</v>
      </c>
      <c r="W415" s="4" t="s">
        <v>493</v>
      </c>
      <c r="X415" s="4" t="s">
        <v>493</v>
      </c>
      <c r="Y415" s="4" t="s">
        <v>493</v>
      </c>
      <c r="Z415" s="4">
        <v>0</v>
      </c>
      <c r="AA415" s="4">
        <v>0</v>
      </c>
      <c r="AB415" s="4">
        <v>7</v>
      </c>
      <c r="AC415" s="4">
        <v>0</v>
      </c>
      <c r="AD415" s="4" t="s">
        <v>142</v>
      </c>
      <c r="AE415" s="8" t="s">
        <v>486</v>
      </c>
      <c r="AF415" s="4" t="s">
        <v>253</v>
      </c>
      <c r="AG415" s="4" t="s">
        <v>502</v>
      </c>
      <c r="AH415" s="4">
        <v>0.5</v>
      </c>
    </row>
    <row r="416" spans="1:34" x14ac:dyDescent="0.3">
      <c r="A416" s="7" t="s">
        <v>1335</v>
      </c>
      <c r="B416" s="7" t="s">
        <v>1336</v>
      </c>
      <c r="C416" s="7" t="s">
        <v>28</v>
      </c>
      <c r="D416" s="7" t="s">
        <v>779</v>
      </c>
      <c r="E416" s="7" t="s">
        <v>483</v>
      </c>
      <c r="F416" s="7" t="s">
        <v>490</v>
      </c>
      <c r="G416" s="7" t="s">
        <v>472</v>
      </c>
      <c r="H416" s="7" t="s">
        <v>492</v>
      </c>
      <c r="I416" s="7">
        <v>9</v>
      </c>
      <c r="J416" s="7">
        <v>9</v>
      </c>
      <c r="K416" s="7">
        <v>1</v>
      </c>
      <c r="L416" s="7">
        <v>187</v>
      </c>
      <c r="M416" s="7">
        <v>109</v>
      </c>
      <c r="N416" s="7">
        <v>23.38</v>
      </c>
      <c r="O416" s="7">
        <v>162.22</v>
      </c>
      <c r="P416" s="7">
        <v>0</v>
      </c>
      <c r="Q416" s="7">
        <v>0</v>
      </c>
      <c r="R416" s="7">
        <v>20</v>
      </c>
      <c r="S416" s="7">
        <v>7</v>
      </c>
      <c r="T416" s="7">
        <v>0</v>
      </c>
      <c r="U416" s="7">
        <v>0</v>
      </c>
      <c r="V416" s="7" t="s">
        <v>493</v>
      </c>
      <c r="W416" s="7" t="s">
        <v>493</v>
      </c>
      <c r="X416" s="7" t="s">
        <v>493</v>
      </c>
      <c r="Y416" s="7" t="s">
        <v>493</v>
      </c>
      <c r="Z416" s="7">
        <v>0</v>
      </c>
      <c r="AA416" s="7">
        <v>0</v>
      </c>
      <c r="AB416" s="7">
        <v>9</v>
      </c>
      <c r="AC416" s="7">
        <v>0</v>
      </c>
      <c r="AD416" s="7" t="s">
        <v>37</v>
      </c>
      <c r="AE416" s="8" t="s">
        <v>486</v>
      </c>
      <c r="AF416" s="7" t="s">
        <v>34</v>
      </c>
      <c r="AG416" s="7" t="s">
        <v>476</v>
      </c>
      <c r="AH416" s="7">
        <v>7.5</v>
      </c>
    </row>
    <row r="417" spans="1:34" x14ac:dyDescent="0.3">
      <c r="A417" s="4" t="s">
        <v>1337</v>
      </c>
      <c r="B417" s="4" t="s">
        <v>1338</v>
      </c>
      <c r="C417" s="4" t="s">
        <v>81</v>
      </c>
      <c r="D417" s="4" t="s">
        <v>750</v>
      </c>
      <c r="E417" s="4" t="s">
        <v>543</v>
      </c>
      <c r="F417" s="4" t="s">
        <v>490</v>
      </c>
      <c r="G417" s="4" t="s">
        <v>491</v>
      </c>
      <c r="H417" s="4" t="s">
        <v>492</v>
      </c>
      <c r="I417" s="4">
        <v>9</v>
      </c>
      <c r="J417" s="4">
        <v>9</v>
      </c>
      <c r="K417" s="4">
        <v>3</v>
      </c>
      <c r="L417" s="4">
        <v>173</v>
      </c>
      <c r="M417" s="4">
        <v>99</v>
      </c>
      <c r="N417" s="4">
        <v>28.83</v>
      </c>
      <c r="O417" s="4">
        <v>126.79</v>
      </c>
      <c r="P417" s="4">
        <v>0</v>
      </c>
      <c r="Q417" s="4">
        <v>0</v>
      </c>
      <c r="R417" s="4">
        <v>22</v>
      </c>
      <c r="S417" s="4">
        <v>19</v>
      </c>
      <c r="T417" s="4">
        <v>0</v>
      </c>
      <c r="U417" s="4">
        <v>0</v>
      </c>
      <c r="V417" s="4" t="s">
        <v>493</v>
      </c>
      <c r="W417" s="4" t="s">
        <v>493</v>
      </c>
      <c r="X417" s="4" t="s">
        <v>493</v>
      </c>
      <c r="Y417" s="4" t="s">
        <v>493</v>
      </c>
      <c r="Z417" s="4">
        <v>0</v>
      </c>
      <c r="AA417" s="4">
        <v>0</v>
      </c>
      <c r="AB417" s="4">
        <v>3</v>
      </c>
      <c r="AC417" s="4">
        <v>0</v>
      </c>
      <c r="AD417" s="4" t="s">
        <v>20</v>
      </c>
      <c r="AE417" s="3" t="s">
        <v>475</v>
      </c>
      <c r="AF417" s="4" t="s">
        <v>269</v>
      </c>
      <c r="AG417" s="4" t="s">
        <v>476</v>
      </c>
      <c r="AH417" s="4">
        <v>7.5</v>
      </c>
    </row>
    <row r="418" spans="1:34" x14ac:dyDescent="0.3">
      <c r="A418" s="7" t="s">
        <v>1339</v>
      </c>
      <c r="B418" s="7" t="s">
        <v>1340</v>
      </c>
      <c r="C418" s="7" t="s">
        <v>20</v>
      </c>
      <c r="D418" s="7" t="s">
        <v>523</v>
      </c>
      <c r="E418" s="7" t="s">
        <v>483</v>
      </c>
      <c r="F418" s="7" t="s">
        <v>484</v>
      </c>
      <c r="G418" s="7" t="s">
        <v>491</v>
      </c>
      <c r="H418" s="7" t="s">
        <v>473</v>
      </c>
      <c r="I418" s="7">
        <v>10</v>
      </c>
      <c r="J418" s="7">
        <v>9</v>
      </c>
      <c r="K418" s="7">
        <v>0</v>
      </c>
      <c r="L418" s="7">
        <v>355</v>
      </c>
      <c r="M418" s="7">
        <v>40</v>
      </c>
      <c r="N418" s="7">
        <v>39.44</v>
      </c>
      <c r="O418" s="7">
        <v>126.55</v>
      </c>
      <c r="P418" s="7">
        <v>0</v>
      </c>
      <c r="Q418" s="7">
        <v>0</v>
      </c>
      <c r="R418" s="7">
        <v>38</v>
      </c>
      <c r="S418" s="7">
        <v>39</v>
      </c>
      <c r="T418" s="7">
        <v>0</v>
      </c>
      <c r="U418" s="7">
        <v>14</v>
      </c>
      <c r="V418" s="7">
        <v>16.98</v>
      </c>
      <c r="W418" s="7">
        <v>7.04</v>
      </c>
      <c r="X418" s="7">
        <v>10.07</v>
      </c>
      <c r="Y418" s="7" t="s">
        <v>576</v>
      </c>
      <c r="Z418" s="7">
        <v>0</v>
      </c>
      <c r="AA418" s="7">
        <v>30.6</v>
      </c>
      <c r="AB418" s="7">
        <v>2</v>
      </c>
      <c r="AC418" s="7">
        <v>0</v>
      </c>
      <c r="AD418" s="7" t="s">
        <v>38</v>
      </c>
      <c r="AE418" s="3" t="s">
        <v>475</v>
      </c>
      <c r="AF418" s="7" t="s">
        <v>34</v>
      </c>
      <c r="AG418" s="7" t="s">
        <v>476</v>
      </c>
      <c r="AH418" s="7">
        <v>0.75</v>
      </c>
    </row>
    <row r="419" spans="1:34" x14ac:dyDescent="0.3">
      <c r="A419" s="4" t="s">
        <v>1341</v>
      </c>
      <c r="B419" s="4" t="s">
        <v>1342</v>
      </c>
      <c r="C419" s="4" t="s">
        <v>37</v>
      </c>
      <c r="D419" s="4" t="s">
        <v>555</v>
      </c>
      <c r="E419" s="4" t="s">
        <v>543</v>
      </c>
      <c r="F419" s="4" t="s">
        <v>484</v>
      </c>
      <c r="G419" s="4" t="s">
        <v>472</v>
      </c>
      <c r="H419" s="4" t="s">
        <v>500</v>
      </c>
      <c r="I419" s="4">
        <v>10</v>
      </c>
      <c r="J419" s="4">
        <v>10</v>
      </c>
      <c r="K419" s="4">
        <v>3</v>
      </c>
      <c r="L419" s="4">
        <v>325</v>
      </c>
      <c r="M419" s="4">
        <v>40</v>
      </c>
      <c r="N419" s="4">
        <v>46.43</v>
      </c>
      <c r="O419" s="4">
        <v>111.14</v>
      </c>
      <c r="P419" s="4">
        <v>0</v>
      </c>
      <c r="Q419" s="4">
        <v>0</v>
      </c>
      <c r="R419" s="4">
        <v>44</v>
      </c>
      <c r="S419" s="4">
        <v>22</v>
      </c>
      <c r="T419" s="4">
        <v>0</v>
      </c>
      <c r="U419" s="4">
        <v>16</v>
      </c>
      <c r="V419" s="4">
        <v>24.26</v>
      </c>
      <c r="W419" s="4">
        <v>9.39</v>
      </c>
      <c r="X419" s="4">
        <v>10.86</v>
      </c>
      <c r="Y419" s="4" t="s">
        <v>616</v>
      </c>
      <c r="Z419" s="4">
        <v>0</v>
      </c>
      <c r="AA419" s="4">
        <v>37.9</v>
      </c>
      <c r="AB419" s="4">
        <v>7</v>
      </c>
      <c r="AC419" s="4">
        <v>0</v>
      </c>
      <c r="AD419" s="4" t="s">
        <v>28</v>
      </c>
      <c r="AE419" s="8" t="s">
        <v>486</v>
      </c>
      <c r="AF419" s="4" t="s">
        <v>52</v>
      </c>
      <c r="AG419" s="4" t="s">
        <v>476</v>
      </c>
      <c r="AH419" s="4">
        <v>4</v>
      </c>
    </row>
    <row r="420" spans="1:34" x14ac:dyDescent="0.3">
      <c r="A420" s="7" t="s">
        <v>1343</v>
      </c>
      <c r="B420" s="7" t="s">
        <v>1344</v>
      </c>
      <c r="C420" s="7" t="s">
        <v>37</v>
      </c>
      <c r="D420" s="7" t="s">
        <v>555</v>
      </c>
      <c r="E420" s="7" t="s">
        <v>470</v>
      </c>
      <c r="F420" s="7" t="s">
        <v>471</v>
      </c>
      <c r="G420" s="7" t="s">
        <v>472</v>
      </c>
      <c r="H420" s="7" t="s">
        <v>556</v>
      </c>
      <c r="I420" s="7">
        <v>10</v>
      </c>
      <c r="J420" s="7">
        <v>8</v>
      </c>
      <c r="K420" s="7">
        <v>3</v>
      </c>
      <c r="L420" s="7">
        <v>220</v>
      </c>
      <c r="M420" s="7">
        <v>27</v>
      </c>
      <c r="N420" s="7">
        <v>44</v>
      </c>
      <c r="O420" s="7">
        <v>122.89</v>
      </c>
      <c r="P420" s="7">
        <v>0</v>
      </c>
      <c r="Q420" s="7">
        <v>0</v>
      </c>
      <c r="R420" s="7">
        <v>18</v>
      </c>
      <c r="S420" s="7">
        <v>11</v>
      </c>
      <c r="T420" s="7">
        <v>2</v>
      </c>
      <c r="U420" s="7">
        <v>11</v>
      </c>
      <c r="V420" s="7">
        <v>24.8</v>
      </c>
      <c r="W420" s="7">
        <v>10.119999999999999</v>
      </c>
      <c r="X420" s="7">
        <v>11.64</v>
      </c>
      <c r="Y420" s="7" t="s">
        <v>799</v>
      </c>
      <c r="Z420" s="7">
        <v>0</v>
      </c>
      <c r="AA420" s="7">
        <v>37.9</v>
      </c>
      <c r="AB420" s="7">
        <v>5</v>
      </c>
      <c r="AC420" s="7">
        <v>0</v>
      </c>
      <c r="AD420" s="7" t="s">
        <v>37</v>
      </c>
      <c r="AE420" s="3" t="s">
        <v>475</v>
      </c>
      <c r="AF420" s="7" t="s">
        <v>357</v>
      </c>
      <c r="AG420" s="7" t="s">
        <v>476</v>
      </c>
      <c r="AH420" s="7">
        <v>0.2</v>
      </c>
    </row>
    <row r="421" spans="1:34" x14ac:dyDescent="0.3">
      <c r="A421" s="4" t="s">
        <v>1345</v>
      </c>
      <c r="B421" s="4" t="s">
        <v>1346</v>
      </c>
      <c r="C421" s="4" t="s">
        <v>20</v>
      </c>
      <c r="D421" s="4" t="s">
        <v>523</v>
      </c>
      <c r="E421" s="4" t="s">
        <v>489</v>
      </c>
      <c r="F421" s="4" t="s">
        <v>490</v>
      </c>
      <c r="G421" s="4" t="s">
        <v>491</v>
      </c>
      <c r="H421" s="4" t="s">
        <v>492</v>
      </c>
      <c r="I421" s="4">
        <v>13</v>
      </c>
      <c r="J421" s="4">
        <v>11</v>
      </c>
      <c r="K421" s="4">
        <v>3</v>
      </c>
      <c r="L421" s="4">
        <v>368</v>
      </c>
      <c r="M421" s="4">
        <v>79</v>
      </c>
      <c r="N421" s="4">
        <v>46</v>
      </c>
      <c r="O421" s="4">
        <v>157.30000000000001</v>
      </c>
      <c r="P421" s="4">
        <v>0</v>
      </c>
      <c r="Q421" s="4">
        <v>0</v>
      </c>
      <c r="R421" s="4">
        <v>34</v>
      </c>
      <c r="S421" s="4">
        <v>21</v>
      </c>
      <c r="T421" s="4">
        <v>0</v>
      </c>
      <c r="U421" s="4">
        <v>0</v>
      </c>
      <c r="V421" s="4" t="s">
        <v>493</v>
      </c>
      <c r="W421" s="4" t="s">
        <v>493</v>
      </c>
      <c r="X421" s="4" t="s">
        <v>493</v>
      </c>
      <c r="Y421" s="4" t="s">
        <v>493</v>
      </c>
      <c r="Z421" s="4">
        <v>0</v>
      </c>
      <c r="AA421" s="4">
        <v>0</v>
      </c>
      <c r="AB421" s="4">
        <v>12</v>
      </c>
      <c r="AC421" s="4">
        <v>0</v>
      </c>
      <c r="AD421" s="4" t="s">
        <v>46</v>
      </c>
      <c r="AE421" s="8" t="s">
        <v>486</v>
      </c>
      <c r="AF421" s="4" t="s">
        <v>202</v>
      </c>
      <c r="AG421" s="4" t="s">
        <v>476</v>
      </c>
      <c r="AH421" s="4">
        <v>15</v>
      </c>
    </row>
    <row r="422" spans="1:34" x14ac:dyDescent="0.3">
      <c r="A422" s="7" t="s">
        <v>1347</v>
      </c>
      <c r="B422" s="7" t="s">
        <v>1348</v>
      </c>
      <c r="C422" s="7" t="s">
        <v>142</v>
      </c>
      <c r="D422" s="7" t="s">
        <v>684</v>
      </c>
      <c r="E422" s="7" t="s">
        <v>483</v>
      </c>
      <c r="F422" s="7" t="s">
        <v>471</v>
      </c>
      <c r="G422" s="7" t="s">
        <v>472</v>
      </c>
      <c r="H422" s="7" t="s">
        <v>516</v>
      </c>
      <c r="I422" s="7">
        <v>11</v>
      </c>
      <c r="J422" s="7">
        <v>9</v>
      </c>
      <c r="K422" s="7">
        <v>1</v>
      </c>
      <c r="L422" s="7">
        <v>260</v>
      </c>
      <c r="M422" s="7">
        <v>5</v>
      </c>
      <c r="N422" s="7">
        <v>32.5</v>
      </c>
      <c r="O422" s="7">
        <v>116.16</v>
      </c>
      <c r="P422" s="7">
        <v>0</v>
      </c>
      <c r="Q422" s="7">
        <v>0</v>
      </c>
      <c r="R422" s="7">
        <v>21</v>
      </c>
      <c r="S422" s="7">
        <v>13</v>
      </c>
      <c r="T422" s="7">
        <v>2</v>
      </c>
      <c r="U422" s="7">
        <v>17</v>
      </c>
      <c r="V422" s="7">
        <v>23.84</v>
      </c>
      <c r="W422" s="7">
        <v>10.19</v>
      </c>
      <c r="X422" s="7">
        <v>19.34</v>
      </c>
      <c r="Y422" s="7" t="s">
        <v>517</v>
      </c>
      <c r="Z422" s="7">
        <v>0</v>
      </c>
      <c r="AA422" s="7">
        <v>35</v>
      </c>
      <c r="AB422" s="7">
        <v>9</v>
      </c>
      <c r="AC422" s="7">
        <v>0</v>
      </c>
      <c r="AD422" s="7" t="s">
        <v>28</v>
      </c>
      <c r="AE422" s="8" t="s">
        <v>486</v>
      </c>
      <c r="AF422" s="7" t="s">
        <v>72</v>
      </c>
      <c r="AG422" s="7" t="s">
        <v>476</v>
      </c>
      <c r="AH422" s="7">
        <v>0.2</v>
      </c>
    </row>
    <row r="423" spans="1:34" x14ac:dyDescent="0.3">
      <c r="A423" s="4" t="s">
        <v>1349</v>
      </c>
      <c r="B423" s="4" t="s">
        <v>1350</v>
      </c>
      <c r="C423" s="4" t="s">
        <v>28</v>
      </c>
      <c r="D423" s="4" t="s">
        <v>779</v>
      </c>
      <c r="E423" s="4" t="s">
        <v>597</v>
      </c>
      <c r="F423" s="4" t="s">
        <v>471</v>
      </c>
      <c r="G423" s="4" t="s">
        <v>491</v>
      </c>
      <c r="H423" s="4" t="s">
        <v>516</v>
      </c>
      <c r="I423" s="4">
        <v>8</v>
      </c>
      <c r="J423" s="4">
        <v>6</v>
      </c>
      <c r="K423" s="4">
        <v>0</v>
      </c>
      <c r="L423" s="4">
        <v>21</v>
      </c>
      <c r="M423" s="4">
        <v>14</v>
      </c>
      <c r="N423" s="4">
        <v>3.5</v>
      </c>
      <c r="O423" s="4">
        <v>85.67</v>
      </c>
      <c r="P423" s="4">
        <v>0</v>
      </c>
      <c r="Q423" s="4">
        <v>0</v>
      </c>
      <c r="R423" s="4">
        <v>1</v>
      </c>
      <c r="S423" s="4">
        <v>1</v>
      </c>
      <c r="T423" s="4">
        <v>1</v>
      </c>
      <c r="U423" s="4">
        <v>13</v>
      </c>
      <c r="V423" s="4">
        <v>29.13</v>
      </c>
      <c r="W423" s="4">
        <v>9.7799999999999994</v>
      </c>
      <c r="X423" s="4">
        <v>10.95</v>
      </c>
      <c r="Y423" s="4" t="s">
        <v>685</v>
      </c>
      <c r="Z423" s="4">
        <v>0</v>
      </c>
      <c r="AA423" s="4">
        <v>24</v>
      </c>
      <c r="AB423" s="4">
        <v>7</v>
      </c>
      <c r="AC423" s="4">
        <v>0</v>
      </c>
      <c r="AD423" s="4" t="s">
        <v>37</v>
      </c>
      <c r="AE423" s="8" t="s">
        <v>486</v>
      </c>
      <c r="AF423" s="4" t="s">
        <v>274</v>
      </c>
      <c r="AG423" s="4" t="s">
        <v>476</v>
      </c>
      <c r="AH423" s="4">
        <v>1.5</v>
      </c>
    </row>
    <row r="424" spans="1:34" x14ac:dyDescent="0.3">
      <c r="A424" s="7" t="s">
        <v>1351</v>
      </c>
      <c r="B424" s="7" t="s">
        <v>1352</v>
      </c>
      <c r="C424" s="7" t="s">
        <v>28</v>
      </c>
      <c r="D424" s="7" t="s">
        <v>779</v>
      </c>
      <c r="E424" s="7" t="s">
        <v>483</v>
      </c>
      <c r="F424" s="7" t="s">
        <v>490</v>
      </c>
      <c r="G424" s="7" t="s">
        <v>491</v>
      </c>
      <c r="H424" s="7" t="s">
        <v>492</v>
      </c>
      <c r="I424" s="7">
        <v>13</v>
      </c>
      <c r="J424" s="7">
        <v>11</v>
      </c>
      <c r="K424" s="7">
        <v>3</v>
      </c>
      <c r="L424" s="7">
        <v>405</v>
      </c>
      <c r="M424" s="7">
        <v>118</v>
      </c>
      <c r="N424" s="7">
        <v>50.62</v>
      </c>
      <c r="O424" s="7">
        <v>174.41</v>
      </c>
      <c r="P424" s="7">
        <v>0</v>
      </c>
      <c r="Q424" s="7">
        <v>0</v>
      </c>
      <c r="R424" s="7">
        <v>36</v>
      </c>
      <c r="S424" s="7">
        <v>28</v>
      </c>
      <c r="T424" s="7">
        <v>1</v>
      </c>
      <c r="U424" s="7">
        <v>0</v>
      </c>
      <c r="V424" s="7" t="s">
        <v>493</v>
      </c>
      <c r="W424" s="7" t="s">
        <v>493</v>
      </c>
      <c r="X424" s="7" t="s">
        <v>493</v>
      </c>
      <c r="Y424" s="7" t="s">
        <v>493</v>
      </c>
      <c r="Z424" s="7">
        <v>0</v>
      </c>
      <c r="AA424" s="7">
        <v>0</v>
      </c>
      <c r="AB424" s="7">
        <v>8</v>
      </c>
      <c r="AC424" s="7">
        <v>0</v>
      </c>
      <c r="AD424" s="7" t="s">
        <v>28</v>
      </c>
      <c r="AE424" s="8" t="s">
        <v>486</v>
      </c>
      <c r="AF424" s="7" t="s">
        <v>52</v>
      </c>
      <c r="AG424" s="7" t="s">
        <v>476</v>
      </c>
      <c r="AH424" s="7">
        <v>15</v>
      </c>
    </row>
    <row r="425" spans="1:34" x14ac:dyDescent="0.3">
      <c r="A425" s="4" t="s">
        <v>1353</v>
      </c>
      <c r="B425" s="4" t="s">
        <v>1354</v>
      </c>
      <c r="C425" s="4" t="s">
        <v>55</v>
      </c>
      <c r="D425" s="4" t="s">
        <v>588</v>
      </c>
      <c r="E425" s="4" t="s">
        <v>597</v>
      </c>
      <c r="F425" s="4" t="s">
        <v>471</v>
      </c>
      <c r="G425" s="4" t="s">
        <v>491</v>
      </c>
      <c r="H425" s="4" t="s">
        <v>500</v>
      </c>
      <c r="I425" s="4">
        <v>12</v>
      </c>
      <c r="J425" s="4">
        <v>10</v>
      </c>
      <c r="K425" s="4">
        <v>1</v>
      </c>
      <c r="L425" s="4">
        <v>95</v>
      </c>
      <c r="M425" s="4">
        <v>17</v>
      </c>
      <c r="N425" s="4">
        <v>10.56</v>
      </c>
      <c r="O425" s="4">
        <v>93.33</v>
      </c>
      <c r="P425" s="4">
        <v>0</v>
      </c>
      <c r="Q425" s="4">
        <v>0</v>
      </c>
      <c r="R425" s="4">
        <v>7</v>
      </c>
      <c r="S425" s="4">
        <v>4</v>
      </c>
      <c r="T425" s="4">
        <v>2</v>
      </c>
      <c r="U425" s="4">
        <v>6</v>
      </c>
      <c r="V425" s="4">
        <v>32.340000000000003</v>
      </c>
      <c r="W425" s="4">
        <v>9.19</v>
      </c>
      <c r="X425" s="4">
        <v>18.239999999999998</v>
      </c>
      <c r="Y425" s="4" t="s">
        <v>746</v>
      </c>
      <c r="Z425" s="4">
        <v>0</v>
      </c>
      <c r="AA425" s="4">
        <v>41.7</v>
      </c>
      <c r="AB425" s="4">
        <v>9</v>
      </c>
      <c r="AC425" s="4">
        <v>0</v>
      </c>
      <c r="AD425" s="4" t="s">
        <v>28</v>
      </c>
      <c r="AE425" s="3" t="s">
        <v>475</v>
      </c>
      <c r="AF425" s="4" t="s">
        <v>207</v>
      </c>
      <c r="AG425" s="4" t="s">
        <v>476</v>
      </c>
      <c r="AH425" s="4">
        <v>18</v>
      </c>
    </row>
    <row r="426" spans="1:34" x14ac:dyDescent="0.3">
      <c r="A426" s="7" t="s">
        <v>1355</v>
      </c>
      <c r="B426" s="7" t="s">
        <v>1356</v>
      </c>
      <c r="C426" s="7" t="s">
        <v>47</v>
      </c>
      <c r="D426" s="7" t="s">
        <v>717</v>
      </c>
      <c r="E426" s="7" t="s">
        <v>470</v>
      </c>
      <c r="F426" s="7" t="s">
        <v>484</v>
      </c>
      <c r="G426" s="7" t="s">
        <v>491</v>
      </c>
      <c r="H426" s="7" t="s">
        <v>516</v>
      </c>
      <c r="I426" s="7">
        <v>10</v>
      </c>
      <c r="J426" s="7">
        <v>10</v>
      </c>
      <c r="K426" s="7">
        <v>3</v>
      </c>
      <c r="L426" s="7">
        <v>207</v>
      </c>
      <c r="M426" s="7">
        <v>46</v>
      </c>
      <c r="N426" s="7">
        <v>29.57</v>
      </c>
      <c r="O426" s="7">
        <v>155.16999999999999</v>
      </c>
      <c r="P426" s="7">
        <v>0</v>
      </c>
      <c r="Q426" s="7">
        <v>0</v>
      </c>
      <c r="R426" s="7">
        <v>22</v>
      </c>
      <c r="S426" s="7">
        <v>11</v>
      </c>
      <c r="T426" s="7">
        <v>0</v>
      </c>
      <c r="U426" s="7">
        <v>2</v>
      </c>
      <c r="V426" s="7">
        <v>17.36</v>
      </c>
      <c r="W426" s="7">
        <v>9.74</v>
      </c>
      <c r="X426" s="7">
        <v>18.89</v>
      </c>
      <c r="Y426" s="7" t="s">
        <v>595</v>
      </c>
      <c r="Z426" s="7">
        <v>0</v>
      </c>
      <c r="AA426" s="7">
        <v>25.7</v>
      </c>
      <c r="AB426" s="7">
        <v>6</v>
      </c>
      <c r="AC426" s="7">
        <v>0</v>
      </c>
      <c r="AD426" s="7" t="s">
        <v>47</v>
      </c>
      <c r="AE426" s="3" t="s">
        <v>475</v>
      </c>
      <c r="AF426" s="7" t="s">
        <v>181</v>
      </c>
      <c r="AG426" s="7" t="s">
        <v>476</v>
      </c>
      <c r="AH426" s="7">
        <v>0.4</v>
      </c>
    </row>
    <row r="427" spans="1:34" x14ac:dyDescent="0.3">
      <c r="A427" s="4" t="s">
        <v>1357</v>
      </c>
      <c r="B427" s="4" t="s">
        <v>1358</v>
      </c>
      <c r="C427" s="4" t="s">
        <v>38</v>
      </c>
      <c r="D427" s="4" t="s">
        <v>654</v>
      </c>
      <c r="E427" s="4" t="s">
        <v>483</v>
      </c>
      <c r="F427" s="4" t="s">
        <v>471</v>
      </c>
      <c r="G427" s="4" t="s">
        <v>472</v>
      </c>
      <c r="H427" s="4" t="s">
        <v>514</v>
      </c>
      <c r="I427" s="4">
        <v>8</v>
      </c>
      <c r="J427" s="4">
        <v>7</v>
      </c>
      <c r="K427" s="4">
        <v>3</v>
      </c>
      <c r="L427" s="4">
        <v>80</v>
      </c>
      <c r="M427" s="4">
        <v>18</v>
      </c>
      <c r="N427" s="4">
        <v>20</v>
      </c>
      <c r="O427" s="4">
        <v>104.74</v>
      </c>
      <c r="P427" s="4">
        <v>0</v>
      </c>
      <c r="Q427" s="4">
        <v>0</v>
      </c>
      <c r="R427" s="4">
        <v>6</v>
      </c>
      <c r="S427" s="4">
        <v>4</v>
      </c>
      <c r="T427" s="4">
        <v>2</v>
      </c>
      <c r="U427" s="4">
        <v>7</v>
      </c>
      <c r="V427" s="4">
        <v>31.15</v>
      </c>
      <c r="W427" s="4">
        <v>10.06</v>
      </c>
      <c r="X427" s="4">
        <v>15.87</v>
      </c>
      <c r="Y427" s="4" t="s">
        <v>583</v>
      </c>
      <c r="Z427" s="4">
        <v>0</v>
      </c>
      <c r="AA427" s="4">
        <v>29.7</v>
      </c>
      <c r="AB427" s="4">
        <v>3</v>
      </c>
      <c r="AC427" s="4">
        <v>0</v>
      </c>
      <c r="AD427" s="4" t="s">
        <v>142</v>
      </c>
      <c r="AE427" s="3" t="s">
        <v>475</v>
      </c>
      <c r="AF427" s="4" t="s">
        <v>328</v>
      </c>
      <c r="AG427" s="4" t="s">
        <v>476</v>
      </c>
      <c r="AH427" s="4">
        <v>1</v>
      </c>
    </row>
    <row r="428" spans="1:34" x14ac:dyDescent="0.3">
      <c r="A428" s="7" t="s">
        <v>1359</v>
      </c>
      <c r="B428" s="7" t="s">
        <v>1360</v>
      </c>
      <c r="C428" s="7" t="s">
        <v>55</v>
      </c>
      <c r="D428" s="7" t="s">
        <v>588</v>
      </c>
      <c r="E428" s="7" t="s">
        <v>483</v>
      </c>
      <c r="F428" s="7" t="s">
        <v>490</v>
      </c>
      <c r="G428" s="7" t="s">
        <v>491</v>
      </c>
      <c r="H428" s="7" t="s">
        <v>492</v>
      </c>
      <c r="I428" s="7">
        <v>11</v>
      </c>
      <c r="J428" s="7">
        <v>10</v>
      </c>
      <c r="K428" s="7">
        <v>1</v>
      </c>
      <c r="L428" s="7">
        <v>382</v>
      </c>
      <c r="M428" s="7">
        <v>33</v>
      </c>
      <c r="N428" s="7">
        <v>42.44</v>
      </c>
      <c r="O428" s="7">
        <v>176.49</v>
      </c>
      <c r="P428" s="7">
        <v>0</v>
      </c>
      <c r="Q428" s="7">
        <v>0</v>
      </c>
      <c r="R428" s="7">
        <v>47</v>
      </c>
      <c r="S428" s="7">
        <v>24</v>
      </c>
      <c r="T428" s="7">
        <v>0</v>
      </c>
      <c r="U428" s="7">
        <v>0</v>
      </c>
      <c r="V428" s="7" t="s">
        <v>493</v>
      </c>
      <c r="W428" s="7" t="s">
        <v>493</v>
      </c>
      <c r="X428" s="7" t="s">
        <v>493</v>
      </c>
      <c r="Y428" s="7" t="s">
        <v>493</v>
      </c>
      <c r="Z428" s="7">
        <v>0</v>
      </c>
      <c r="AA428" s="7">
        <v>0</v>
      </c>
      <c r="AB428" s="7">
        <v>7</v>
      </c>
      <c r="AC428" s="7">
        <v>0</v>
      </c>
      <c r="AD428" s="7" t="s">
        <v>142</v>
      </c>
      <c r="AE428" s="8" t="s">
        <v>486</v>
      </c>
      <c r="AF428" s="7" t="s">
        <v>253</v>
      </c>
      <c r="AG428" s="7" t="s">
        <v>502</v>
      </c>
      <c r="AH428" s="7">
        <v>0.5</v>
      </c>
    </row>
    <row r="429" spans="1:34" x14ac:dyDescent="0.3">
      <c r="A429" s="4" t="s">
        <v>1361</v>
      </c>
      <c r="B429" s="4" t="s">
        <v>1362</v>
      </c>
      <c r="C429" s="4" t="s">
        <v>55</v>
      </c>
      <c r="D429" s="4" t="s">
        <v>588</v>
      </c>
      <c r="E429" s="4" t="s">
        <v>483</v>
      </c>
      <c r="F429" s="4" t="s">
        <v>484</v>
      </c>
      <c r="G429" s="4" t="s">
        <v>472</v>
      </c>
      <c r="H429" s="4" t="s">
        <v>480</v>
      </c>
      <c r="I429" s="4">
        <v>8</v>
      </c>
      <c r="J429" s="4">
        <v>8</v>
      </c>
      <c r="K429" s="4">
        <v>2</v>
      </c>
      <c r="L429" s="4">
        <v>269</v>
      </c>
      <c r="M429" s="4">
        <v>111</v>
      </c>
      <c r="N429" s="4">
        <v>44.83</v>
      </c>
      <c r="O429" s="4">
        <v>122.04</v>
      </c>
      <c r="P429" s="4">
        <v>0</v>
      </c>
      <c r="Q429" s="4">
        <v>0</v>
      </c>
      <c r="R429" s="4">
        <v>31</v>
      </c>
      <c r="S429" s="4">
        <v>24</v>
      </c>
      <c r="T429" s="4">
        <v>0</v>
      </c>
      <c r="U429" s="4">
        <v>8</v>
      </c>
      <c r="V429" s="4">
        <v>25.44</v>
      </c>
      <c r="W429" s="4">
        <v>8.33</v>
      </c>
      <c r="X429" s="4">
        <v>14.45</v>
      </c>
      <c r="Y429" s="4" t="s">
        <v>725</v>
      </c>
      <c r="Z429" s="4">
        <v>0</v>
      </c>
      <c r="AA429" s="4">
        <v>25.6</v>
      </c>
      <c r="AB429" s="4">
        <v>8</v>
      </c>
      <c r="AC429" s="4">
        <v>0</v>
      </c>
      <c r="AD429" s="4" t="s">
        <v>81</v>
      </c>
      <c r="AE429" s="8" t="s">
        <v>486</v>
      </c>
      <c r="AF429" s="4" t="s">
        <v>78</v>
      </c>
      <c r="AG429" s="4" t="s">
        <v>476</v>
      </c>
      <c r="AH429" s="4">
        <v>18</v>
      </c>
    </row>
    <row r="430" spans="1:34" x14ac:dyDescent="0.3">
      <c r="A430" s="7" t="s">
        <v>1363</v>
      </c>
      <c r="B430" s="7" t="s">
        <v>1364</v>
      </c>
      <c r="C430" s="7" t="s">
        <v>19</v>
      </c>
      <c r="D430" s="7" t="s">
        <v>469</v>
      </c>
      <c r="E430" s="7" t="s">
        <v>483</v>
      </c>
      <c r="F430" s="7" t="s">
        <v>471</v>
      </c>
      <c r="G430" s="7" t="s">
        <v>491</v>
      </c>
      <c r="H430" s="7" t="s">
        <v>514</v>
      </c>
      <c r="I430" s="7">
        <v>11</v>
      </c>
      <c r="J430" s="7">
        <v>10</v>
      </c>
      <c r="K430" s="7">
        <v>2</v>
      </c>
      <c r="L430" s="7">
        <v>286</v>
      </c>
      <c r="M430" s="7">
        <v>23</v>
      </c>
      <c r="N430" s="7">
        <v>35.75</v>
      </c>
      <c r="O430" s="7">
        <v>94.88</v>
      </c>
      <c r="P430" s="7">
        <v>0</v>
      </c>
      <c r="Q430" s="7">
        <v>0</v>
      </c>
      <c r="R430" s="7">
        <v>23</v>
      </c>
      <c r="S430" s="7">
        <v>14</v>
      </c>
      <c r="T430" s="7">
        <v>3</v>
      </c>
      <c r="U430" s="7">
        <v>14</v>
      </c>
      <c r="V430" s="7">
        <v>17.82</v>
      </c>
      <c r="W430" s="7">
        <v>7.13</v>
      </c>
      <c r="X430" s="7">
        <v>17.84</v>
      </c>
      <c r="Y430" s="7" t="s">
        <v>692</v>
      </c>
      <c r="Z430" s="7">
        <v>0</v>
      </c>
      <c r="AA430" s="7">
        <v>31.7</v>
      </c>
      <c r="AB430" s="7">
        <v>2</v>
      </c>
      <c r="AC430" s="7">
        <v>0</v>
      </c>
      <c r="AD430" s="7" t="s">
        <v>19</v>
      </c>
      <c r="AE430" s="3" t="s">
        <v>475</v>
      </c>
      <c r="AF430" s="7" t="s">
        <v>241</v>
      </c>
      <c r="AG430" s="7" t="s">
        <v>476</v>
      </c>
      <c r="AH430" s="7">
        <v>4</v>
      </c>
    </row>
    <row r="431" spans="1:34" x14ac:dyDescent="0.3">
      <c r="A431" s="4" t="s">
        <v>1365</v>
      </c>
      <c r="B431" s="4" t="s">
        <v>1366</v>
      </c>
      <c r="C431" s="4" t="s">
        <v>46</v>
      </c>
      <c r="D431" s="4" t="s">
        <v>622</v>
      </c>
      <c r="E431" s="4" t="s">
        <v>483</v>
      </c>
      <c r="F431" s="4" t="s">
        <v>484</v>
      </c>
      <c r="G431" s="4" t="s">
        <v>472</v>
      </c>
      <c r="H431" s="4" t="s">
        <v>509</v>
      </c>
      <c r="I431" s="4">
        <v>13</v>
      </c>
      <c r="J431" s="4">
        <v>12</v>
      </c>
      <c r="K431" s="4">
        <v>1</v>
      </c>
      <c r="L431" s="4">
        <v>523</v>
      </c>
      <c r="M431" s="4">
        <v>88</v>
      </c>
      <c r="N431" s="4">
        <v>47.55</v>
      </c>
      <c r="O431" s="4">
        <v>129.71</v>
      </c>
      <c r="P431" s="4">
        <v>1</v>
      </c>
      <c r="Q431" s="4">
        <v>0</v>
      </c>
      <c r="R431" s="4">
        <v>61</v>
      </c>
      <c r="S431" s="4">
        <v>34</v>
      </c>
      <c r="T431" s="4">
        <v>0</v>
      </c>
      <c r="U431" s="4">
        <v>12</v>
      </c>
      <c r="V431" s="4">
        <v>22.7</v>
      </c>
      <c r="W431" s="4">
        <v>8.8000000000000007</v>
      </c>
      <c r="X431" s="4">
        <v>17.95</v>
      </c>
      <c r="Y431" s="4" t="s">
        <v>532</v>
      </c>
      <c r="Z431" s="4">
        <v>0</v>
      </c>
      <c r="AA431" s="4">
        <v>46.7</v>
      </c>
      <c r="AB431" s="4">
        <v>10</v>
      </c>
      <c r="AC431" s="4">
        <v>0</v>
      </c>
      <c r="AD431" s="4" t="s">
        <v>38</v>
      </c>
      <c r="AE431" s="8" t="s">
        <v>486</v>
      </c>
      <c r="AF431" s="4" t="s">
        <v>406</v>
      </c>
      <c r="AG431" s="4" t="s">
        <v>476</v>
      </c>
      <c r="AH431" s="4">
        <v>5</v>
      </c>
    </row>
    <row r="432" spans="1:34" x14ac:dyDescent="0.3">
      <c r="A432" s="7" t="s">
        <v>1367</v>
      </c>
      <c r="B432" s="7" t="s">
        <v>1368</v>
      </c>
      <c r="C432" s="7" t="s">
        <v>55</v>
      </c>
      <c r="D432" s="7" t="s">
        <v>588</v>
      </c>
      <c r="E432" s="7" t="s">
        <v>479</v>
      </c>
      <c r="F432" s="7" t="s">
        <v>484</v>
      </c>
      <c r="G432" s="7" t="s">
        <v>491</v>
      </c>
      <c r="H432" s="7" t="s">
        <v>473</v>
      </c>
      <c r="I432" s="7">
        <v>9</v>
      </c>
      <c r="J432" s="7">
        <v>7</v>
      </c>
      <c r="K432" s="7">
        <v>1</v>
      </c>
      <c r="L432" s="7">
        <v>124</v>
      </c>
      <c r="M432" s="7">
        <v>76</v>
      </c>
      <c r="N432" s="7">
        <v>20.67</v>
      </c>
      <c r="O432" s="7">
        <v>122.36</v>
      </c>
      <c r="P432" s="7">
        <v>0</v>
      </c>
      <c r="Q432" s="7">
        <v>0</v>
      </c>
      <c r="R432" s="7">
        <v>12</v>
      </c>
      <c r="S432" s="7">
        <v>7</v>
      </c>
      <c r="T432" s="7">
        <v>0</v>
      </c>
      <c r="U432" s="7">
        <v>10</v>
      </c>
      <c r="V432" s="7">
        <v>17.79</v>
      </c>
      <c r="W432" s="7">
        <v>8.09</v>
      </c>
      <c r="X432" s="7">
        <v>15.26</v>
      </c>
      <c r="Y432" s="7" t="s">
        <v>527</v>
      </c>
      <c r="Z432" s="7">
        <v>0</v>
      </c>
      <c r="AA432" s="7">
        <v>26.9</v>
      </c>
      <c r="AB432" s="7">
        <v>2</v>
      </c>
      <c r="AC432" s="7">
        <v>0</v>
      </c>
      <c r="AD432" s="7" t="s">
        <v>38</v>
      </c>
      <c r="AE432" s="8" t="s">
        <v>486</v>
      </c>
      <c r="AF432" s="7" t="s">
        <v>406</v>
      </c>
      <c r="AG432" s="7" t="s">
        <v>476</v>
      </c>
      <c r="AH432" s="7">
        <v>6</v>
      </c>
    </row>
    <row r="433" spans="1:34" x14ac:dyDescent="0.3">
      <c r="A433" s="4" t="s">
        <v>1369</v>
      </c>
      <c r="B433" s="4" t="s">
        <v>1370</v>
      </c>
      <c r="C433" s="4" t="s">
        <v>37</v>
      </c>
      <c r="D433" s="4" t="s">
        <v>555</v>
      </c>
      <c r="E433" s="4" t="s">
        <v>536</v>
      </c>
      <c r="F433" s="4" t="s">
        <v>505</v>
      </c>
      <c r="G433" s="4" t="s">
        <v>491</v>
      </c>
      <c r="H433" s="4" t="s">
        <v>492</v>
      </c>
      <c r="I433" s="4">
        <v>8</v>
      </c>
      <c r="J433" s="4">
        <v>8</v>
      </c>
      <c r="K433" s="4">
        <v>0</v>
      </c>
      <c r="L433" s="4">
        <v>216</v>
      </c>
      <c r="M433" s="4">
        <v>36</v>
      </c>
      <c r="N433" s="4">
        <v>27</v>
      </c>
      <c r="O433" s="4">
        <v>169.85</v>
      </c>
      <c r="P433" s="4">
        <v>0</v>
      </c>
      <c r="Q433" s="4">
        <v>0</v>
      </c>
      <c r="R433" s="4">
        <v>21</v>
      </c>
      <c r="S433" s="4">
        <v>23</v>
      </c>
      <c r="T433" s="4">
        <v>0</v>
      </c>
      <c r="U433" s="4">
        <v>0</v>
      </c>
      <c r="V433" s="4" t="s">
        <v>493</v>
      </c>
      <c r="W433" s="4" t="s">
        <v>493</v>
      </c>
      <c r="X433" s="4" t="s">
        <v>493</v>
      </c>
      <c r="Y433" s="4" t="s">
        <v>493</v>
      </c>
      <c r="Z433" s="4">
        <v>0</v>
      </c>
      <c r="AA433" s="4">
        <v>0</v>
      </c>
      <c r="AB433" s="4">
        <v>6</v>
      </c>
      <c r="AC433" s="4">
        <v>2</v>
      </c>
      <c r="AD433" s="4" t="s">
        <v>19</v>
      </c>
      <c r="AE433" s="3" t="s">
        <v>475</v>
      </c>
      <c r="AF433" s="4" t="s">
        <v>213</v>
      </c>
      <c r="AG433" s="4" t="s">
        <v>476</v>
      </c>
      <c r="AH433" s="4">
        <v>3</v>
      </c>
    </row>
    <row r="434" spans="1:34" x14ac:dyDescent="0.3">
      <c r="A434" s="7" t="s">
        <v>1371</v>
      </c>
      <c r="B434" s="7" t="s">
        <v>1372</v>
      </c>
      <c r="C434" s="7" t="s">
        <v>142</v>
      </c>
      <c r="D434" s="7" t="s">
        <v>684</v>
      </c>
      <c r="E434" s="7" t="s">
        <v>483</v>
      </c>
      <c r="F434" s="7" t="s">
        <v>490</v>
      </c>
      <c r="G434" s="7" t="s">
        <v>491</v>
      </c>
      <c r="H434" s="7" t="s">
        <v>492</v>
      </c>
      <c r="I434" s="7">
        <v>11</v>
      </c>
      <c r="J434" s="7">
        <v>10</v>
      </c>
      <c r="K434" s="7">
        <v>1</v>
      </c>
      <c r="L434" s="7">
        <v>162</v>
      </c>
      <c r="M434" s="7">
        <v>86</v>
      </c>
      <c r="N434" s="7">
        <v>18</v>
      </c>
      <c r="O434" s="7">
        <v>163.77000000000001</v>
      </c>
      <c r="P434" s="7">
        <v>0</v>
      </c>
      <c r="Q434" s="7">
        <v>0</v>
      </c>
      <c r="R434" s="7">
        <v>22</v>
      </c>
      <c r="S434" s="7">
        <v>6</v>
      </c>
      <c r="T434" s="7">
        <v>0</v>
      </c>
      <c r="U434" s="7">
        <v>0</v>
      </c>
      <c r="V434" s="7" t="s">
        <v>493</v>
      </c>
      <c r="W434" s="7" t="s">
        <v>493</v>
      </c>
      <c r="X434" s="7" t="s">
        <v>493</v>
      </c>
      <c r="Y434" s="7" t="s">
        <v>493</v>
      </c>
      <c r="Z434" s="7">
        <v>0</v>
      </c>
      <c r="AA434" s="7">
        <v>0</v>
      </c>
      <c r="AB434" s="7">
        <v>2</v>
      </c>
      <c r="AC434" s="7">
        <v>0</v>
      </c>
      <c r="AD434" s="7" t="s">
        <v>19</v>
      </c>
      <c r="AE434" s="3" t="s">
        <v>475</v>
      </c>
      <c r="AF434" s="7" t="s">
        <v>377</v>
      </c>
      <c r="AG434" s="7" t="s">
        <v>476</v>
      </c>
      <c r="AH434" s="7">
        <v>5</v>
      </c>
    </row>
    <row r="435" spans="1:34" x14ac:dyDescent="0.3">
      <c r="A435" s="4" t="s">
        <v>1373</v>
      </c>
      <c r="B435" s="4" t="s">
        <v>1374</v>
      </c>
      <c r="C435" s="4" t="s">
        <v>20</v>
      </c>
      <c r="D435" s="4" t="s">
        <v>523</v>
      </c>
      <c r="E435" s="4" t="s">
        <v>483</v>
      </c>
      <c r="F435" s="4" t="s">
        <v>484</v>
      </c>
      <c r="G435" s="4" t="s">
        <v>491</v>
      </c>
      <c r="H435" s="4" t="s">
        <v>473</v>
      </c>
      <c r="I435" s="4">
        <v>14</v>
      </c>
      <c r="J435" s="4">
        <v>14</v>
      </c>
      <c r="K435" s="4">
        <v>1</v>
      </c>
      <c r="L435" s="4">
        <v>254</v>
      </c>
      <c r="M435" s="4">
        <v>81</v>
      </c>
      <c r="N435" s="4">
        <v>19.54</v>
      </c>
      <c r="O435" s="4">
        <v>182.1</v>
      </c>
      <c r="P435" s="4">
        <v>0</v>
      </c>
      <c r="Q435" s="4">
        <v>0</v>
      </c>
      <c r="R435" s="4">
        <v>28</v>
      </c>
      <c r="S435" s="4">
        <v>28</v>
      </c>
      <c r="T435" s="4">
        <v>1</v>
      </c>
      <c r="U435" s="4">
        <v>8</v>
      </c>
      <c r="V435" s="4">
        <v>19.739999999999998</v>
      </c>
      <c r="W435" s="4">
        <v>6.81</v>
      </c>
      <c r="X435" s="4">
        <v>19.8</v>
      </c>
      <c r="Y435" s="4" t="s">
        <v>736</v>
      </c>
      <c r="Z435" s="4">
        <v>0</v>
      </c>
      <c r="AA435" s="4">
        <v>41.3</v>
      </c>
      <c r="AB435" s="4">
        <v>11</v>
      </c>
      <c r="AC435" s="4">
        <v>0</v>
      </c>
      <c r="AD435" s="4" t="s">
        <v>28</v>
      </c>
      <c r="AE435" s="8" t="s">
        <v>486</v>
      </c>
      <c r="AF435" s="4" t="s">
        <v>129</v>
      </c>
      <c r="AG435" s="4" t="s">
        <v>476</v>
      </c>
      <c r="AH435" s="4">
        <v>6</v>
      </c>
    </row>
    <row r="436" spans="1:34" x14ac:dyDescent="0.3">
      <c r="A436" s="7" t="s">
        <v>1375</v>
      </c>
      <c r="B436" s="7" t="s">
        <v>1376</v>
      </c>
      <c r="C436" s="7" t="s">
        <v>19</v>
      </c>
      <c r="D436" s="7" t="s">
        <v>469</v>
      </c>
      <c r="E436" s="7" t="s">
        <v>479</v>
      </c>
      <c r="F436" s="7" t="s">
        <v>471</v>
      </c>
      <c r="G436" s="7" t="s">
        <v>472</v>
      </c>
      <c r="H436" s="7" t="s">
        <v>480</v>
      </c>
      <c r="I436" s="7">
        <v>13</v>
      </c>
      <c r="J436" s="7">
        <v>11</v>
      </c>
      <c r="K436" s="7">
        <v>1</v>
      </c>
      <c r="L436" s="7">
        <v>68</v>
      </c>
      <c r="M436" s="7">
        <v>28</v>
      </c>
      <c r="N436" s="7">
        <v>6.8</v>
      </c>
      <c r="O436" s="7">
        <v>126</v>
      </c>
      <c r="P436" s="7">
        <v>0</v>
      </c>
      <c r="Q436" s="7">
        <v>0</v>
      </c>
      <c r="R436" s="7">
        <v>5</v>
      </c>
      <c r="S436" s="7">
        <v>3</v>
      </c>
      <c r="T436" s="7">
        <v>1</v>
      </c>
      <c r="U436" s="7">
        <v>15</v>
      </c>
      <c r="V436" s="7">
        <v>29.92</v>
      </c>
      <c r="W436" s="7">
        <v>10.27</v>
      </c>
      <c r="X436" s="7">
        <v>15.08</v>
      </c>
      <c r="Y436" s="7" t="s">
        <v>481</v>
      </c>
      <c r="Z436" s="7">
        <v>0</v>
      </c>
      <c r="AA436" s="7">
        <v>36.299999999999997</v>
      </c>
      <c r="AB436" s="7">
        <v>10</v>
      </c>
      <c r="AC436" s="7">
        <v>0</v>
      </c>
      <c r="AD436" s="7" t="s">
        <v>28</v>
      </c>
      <c r="AE436" s="3" t="s">
        <v>475</v>
      </c>
      <c r="AF436" s="7" t="s">
        <v>26</v>
      </c>
      <c r="AG436" s="7" t="s">
        <v>476</v>
      </c>
      <c r="AH436" s="7">
        <v>7.5</v>
      </c>
    </row>
    <row r="437" spans="1:34" x14ac:dyDescent="0.3">
      <c r="A437" s="4" t="s">
        <v>1377</v>
      </c>
      <c r="B437" s="4" t="s">
        <v>1378</v>
      </c>
      <c r="C437" s="4" t="s">
        <v>28</v>
      </c>
      <c r="D437" s="4" t="s">
        <v>779</v>
      </c>
      <c r="E437" s="4" t="s">
        <v>543</v>
      </c>
      <c r="F437" s="4" t="s">
        <v>490</v>
      </c>
      <c r="G437" s="4" t="s">
        <v>491</v>
      </c>
      <c r="H437" s="4" t="s">
        <v>492</v>
      </c>
      <c r="I437" s="4">
        <v>9</v>
      </c>
      <c r="J437" s="4">
        <v>9</v>
      </c>
      <c r="K437" s="4">
        <v>3</v>
      </c>
      <c r="L437" s="4">
        <v>173</v>
      </c>
      <c r="M437" s="4">
        <v>99</v>
      </c>
      <c r="N437" s="4">
        <v>28.83</v>
      </c>
      <c r="O437" s="4">
        <v>126.79</v>
      </c>
      <c r="P437" s="4">
        <v>0</v>
      </c>
      <c r="Q437" s="4">
        <v>0</v>
      </c>
      <c r="R437" s="4">
        <v>22</v>
      </c>
      <c r="S437" s="4">
        <v>19</v>
      </c>
      <c r="T437" s="4">
        <v>0</v>
      </c>
      <c r="U437" s="4">
        <v>0</v>
      </c>
      <c r="V437" s="4" t="s">
        <v>493</v>
      </c>
      <c r="W437" s="4" t="s">
        <v>493</v>
      </c>
      <c r="X437" s="4" t="s">
        <v>493</v>
      </c>
      <c r="Y437" s="4" t="s">
        <v>493</v>
      </c>
      <c r="Z437" s="4">
        <v>0</v>
      </c>
      <c r="AA437" s="4">
        <v>0</v>
      </c>
      <c r="AB437" s="4">
        <v>3</v>
      </c>
      <c r="AC437" s="4">
        <v>0</v>
      </c>
      <c r="AD437" s="4" t="s">
        <v>20</v>
      </c>
      <c r="AE437" s="3" t="s">
        <v>475</v>
      </c>
      <c r="AF437" s="4" t="s">
        <v>269</v>
      </c>
      <c r="AG437" s="4" t="s">
        <v>476</v>
      </c>
      <c r="AH437" s="4">
        <v>7.5</v>
      </c>
    </row>
    <row r="438" spans="1:34" x14ac:dyDescent="0.3">
      <c r="A438" s="7" t="s">
        <v>1379</v>
      </c>
      <c r="B438" s="7" t="s">
        <v>1380</v>
      </c>
      <c r="C438" s="7" t="s">
        <v>47</v>
      </c>
      <c r="D438" s="7" t="s">
        <v>717</v>
      </c>
      <c r="E438" s="7" t="s">
        <v>483</v>
      </c>
      <c r="F438" s="7" t="s">
        <v>490</v>
      </c>
      <c r="G438" s="7" t="s">
        <v>472</v>
      </c>
      <c r="H438" s="7" t="s">
        <v>492</v>
      </c>
      <c r="I438" s="7">
        <v>14</v>
      </c>
      <c r="J438" s="7">
        <v>13</v>
      </c>
      <c r="K438" s="7">
        <v>3</v>
      </c>
      <c r="L438" s="7">
        <v>307</v>
      </c>
      <c r="M438" s="7">
        <v>39</v>
      </c>
      <c r="N438" s="7">
        <v>30.7</v>
      </c>
      <c r="O438" s="7">
        <v>127.2</v>
      </c>
      <c r="P438" s="7">
        <v>0</v>
      </c>
      <c r="Q438" s="7">
        <v>0</v>
      </c>
      <c r="R438" s="7">
        <v>31</v>
      </c>
      <c r="S438" s="7">
        <v>26</v>
      </c>
      <c r="T438" s="7">
        <v>0</v>
      </c>
      <c r="U438" s="7">
        <v>0</v>
      </c>
      <c r="V438" s="7" t="s">
        <v>493</v>
      </c>
      <c r="W438" s="7" t="s">
        <v>493</v>
      </c>
      <c r="X438" s="7" t="s">
        <v>493</v>
      </c>
      <c r="Y438" s="7" t="s">
        <v>493</v>
      </c>
      <c r="Z438" s="7">
        <v>0</v>
      </c>
      <c r="AA438" s="7">
        <v>0</v>
      </c>
      <c r="AB438" s="7">
        <v>7</v>
      </c>
      <c r="AC438" s="7">
        <v>0</v>
      </c>
      <c r="AD438" s="7" t="s">
        <v>142</v>
      </c>
      <c r="AE438" s="8" t="s">
        <v>486</v>
      </c>
      <c r="AF438" s="7" t="s">
        <v>279</v>
      </c>
      <c r="AG438" s="7" t="s">
        <v>476</v>
      </c>
      <c r="AH438" s="7">
        <v>0.75</v>
      </c>
    </row>
    <row r="439" spans="1:34" x14ac:dyDescent="0.3">
      <c r="A439" s="4" t="s">
        <v>1381</v>
      </c>
      <c r="B439" s="4" t="s">
        <v>1382</v>
      </c>
      <c r="C439" s="4" t="s">
        <v>38</v>
      </c>
      <c r="D439" s="4" t="s">
        <v>654</v>
      </c>
      <c r="E439" s="4" t="s">
        <v>483</v>
      </c>
      <c r="F439" s="4" t="s">
        <v>490</v>
      </c>
      <c r="G439" s="4" t="s">
        <v>472</v>
      </c>
      <c r="H439" s="4" t="s">
        <v>492</v>
      </c>
      <c r="I439" s="4">
        <v>10</v>
      </c>
      <c r="J439" s="4">
        <v>10</v>
      </c>
      <c r="K439" s="4">
        <v>2</v>
      </c>
      <c r="L439" s="4">
        <v>207</v>
      </c>
      <c r="M439" s="4">
        <v>58</v>
      </c>
      <c r="N439" s="4">
        <v>25.88</v>
      </c>
      <c r="O439" s="4">
        <v>136.53</v>
      </c>
      <c r="P439" s="4">
        <v>0</v>
      </c>
      <c r="Q439" s="4">
        <v>0</v>
      </c>
      <c r="R439" s="4">
        <v>20</v>
      </c>
      <c r="S439" s="4">
        <v>8</v>
      </c>
      <c r="T439" s="4">
        <v>0</v>
      </c>
      <c r="U439" s="4">
        <v>0</v>
      </c>
      <c r="V439" s="4" t="s">
        <v>493</v>
      </c>
      <c r="W439" s="4" t="s">
        <v>493</v>
      </c>
      <c r="X439" s="4" t="s">
        <v>493</v>
      </c>
      <c r="Y439" s="4" t="s">
        <v>493</v>
      </c>
      <c r="Z439" s="4">
        <v>0</v>
      </c>
      <c r="AA439" s="4">
        <v>0</v>
      </c>
      <c r="AB439" s="4">
        <v>8</v>
      </c>
      <c r="AC439" s="4">
        <v>0</v>
      </c>
      <c r="AD439" s="4" t="s">
        <v>28</v>
      </c>
      <c r="AE439" s="8" t="s">
        <v>486</v>
      </c>
      <c r="AF439" s="4" t="s">
        <v>224</v>
      </c>
      <c r="AG439" s="4" t="s">
        <v>476</v>
      </c>
      <c r="AH439" s="4">
        <v>2.5</v>
      </c>
    </row>
    <row r="440" spans="1:34" x14ac:dyDescent="0.3">
      <c r="A440" s="7" t="s">
        <v>1383</v>
      </c>
      <c r="B440" s="7" t="s">
        <v>1384</v>
      </c>
      <c r="C440" s="7" t="s">
        <v>20</v>
      </c>
      <c r="D440" s="7" t="s">
        <v>523</v>
      </c>
      <c r="E440" s="7" t="s">
        <v>483</v>
      </c>
      <c r="F440" s="7" t="s">
        <v>490</v>
      </c>
      <c r="G440" s="7" t="s">
        <v>472</v>
      </c>
      <c r="H440" s="7" t="s">
        <v>492</v>
      </c>
      <c r="I440" s="7">
        <v>8</v>
      </c>
      <c r="J440" s="7">
        <v>6</v>
      </c>
      <c r="K440" s="7">
        <v>3</v>
      </c>
      <c r="L440" s="7">
        <v>92</v>
      </c>
      <c r="M440" s="7">
        <v>68</v>
      </c>
      <c r="N440" s="7">
        <v>30.67</v>
      </c>
      <c r="O440" s="7">
        <v>154.18</v>
      </c>
      <c r="P440" s="7">
        <v>0</v>
      </c>
      <c r="Q440" s="7">
        <v>0</v>
      </c>
      <c r="R440" s="7">
        <v>7</v>
      </c>
      <c r="S440" s="7">
        <v>9</v>
      </c>
      <c r="T440" s="7">
        <v>0</v>
      </c>
      <c r="U440" s="7">
        <v>0</v>
      </c>
      <c r="V440" s="7" t="s">
        <v>493</v>
      </c>
      <c r="W440" s="7" t="s">
        <v>493</v>
      </c>
      <c r="X440" s="7" t="s">
        <v>493</v>
      </c>
      <c r="Y440" s="7" t="s">
        <v>493</v>
      </c>
      <c r="Z440" s="7">
        <v>0</v>
      </c>
      <c r="AA440" s="7">
        <v>0</v>
      </c>
      <c r="AB440" s="7">
        <v>4</v>
      </c>
      <c r="AC440" s="7">
        <v>0</v>
      </c>
      <c r="AD440" s="7" t="s">
        <v>55</v>
      </c>
      <c r="AE440" s="8" t="s">
        <v>486</v>
      </c>
      <c r="AF440" s="7" t="s">
        <v>313</v>
      </c>
      <c r="AG440" s="7" t="s">
        <v>476</v>
      </c>
      <c r="AH440" s="7">
        <v>7.5</v>
      </c>
    </row>
    <row r="441" spans="1:34" x14ac:dyDescent="0.3">
      <c r="A441" s="4" t="s">
        <v>1385</v>
      </c>
      <c r="B441" s="4" t="s">
        <v>1386</v>
      </c>
      <c r="C441" s="4" t="s">
        <v>37</v>
      </c>
      <c r="D441" s="4" t="s">
        <v>555</v>
      </c>
      <c r="E441" s="4" t="s">
        <v>489</v>
      </c>
      <c r="F441" s="4" t="s">
        <v>490</v>
      </c>
      <c r="G441" s="4" t="s">
        <v>472</v>
      </c>
      <c r="H441" s="4" t="s">
        <v>492</v>
      </c>
      <c r="I441" s="4">
        <v>13</v>
      </c>
      <c r="J441" s="4">
        <v>12</v>
      </c>
      <c r="K441" s="4">
        <v>3</v>
      </c>
      <c r="L441" s="4">
        <v>299</v>
      </c>
      <c r="M441" s="4">
        <v>45</v>
      </c>
      <c r="N441" s="4">
        <v>33.22</v>
      </c>
      <c r="O441" s="4">
        <v>183.16</v>
      </c>
      <c r="P441" s="4">
        <v>0</v>
      </c>
      <c r="Q441" s="4">
        <v>0</v>
      </c>
      <c r="R441" s="4">
        <v>32</v>
      </c>
      <c r="S441" s="4">
        <v>27</v>
      </c>
      <c r="T441" s="4">
        <v>1</v>
      </c>
      <c r="U441" s="4">
        <v>0</v>
      </c>
      <c r="V441" s="4" t="s">
        <v>493</v>
      </c>
      <c r="W441" s="4" t="s">
        <v>493</v>
      </c>
      <c r="X441" s="4" t="s">
        <v>493</v>
      </c>
      <c r="Y441" s="4" t="s">
        <v>493</v>
      </c>
      <c r="Z441" s="4">
        <v>0</v>
      </c>
      <c r="AA441" s="4">
        <v>0</v>
      </c>
      <c r="AB441" s="4">
        <v>7</v>
      </c>
      <c r="AC441" s="4">
        <v>0</v>
      </c>
      <c r="AD441" s="4" t="s">
        <v>55</v>
      </c>
      <c r="AE441" s="8" t="s">
        <v>486</v>
      </c>
      <c r="AF441" s="4" t="s">
        <v>181</v>
      </c>
      <c r="AG441" s="4" t="s">
        <v>476</v>
      </c>
      <c r="AH441" s="4">
        <v>0.5</v>
      </c>
    </row>
    <row r="442" spans="1:34" x14ac:dyDescent="0.3">
      <c r="A442" s="7" t="s">
        <v>1387</v>
      </c>
      <c r="B442" s="7" t="s">
        <v>1388</v>
      </c>
      <c r="C442" s="7" t="s">
        <v>19</v>
      </c>
      <c r="D442" s="7" t="s">
        <v>469</v>
      </c>
      <c r="E442" s="7" t="s">
        <v>483</v>
      </c>
      <c r="F442" s="7" t="s">
        <v>490</v>
      </c>
      <c r="G442" s="7" t="s">
        <v>491</v>
      </c>
      <c r="H442" s="7" t="s">
        <v>492</v>
      </c>
      <c r="I442" s="7">
        <v>9</v>
      </c>
      <c r="J442" s="7">
        <v>9</v>
      </c>
      <c r="K442" s="7">
        <v>1</v>
      </c>
      <c r="L442" s="7">
        <v>245</v>
      </c>
      <c r="M442" s="7">
        <v>77</v>
      </c>
      <c r="N442" s="7">
        <v>30.62</v>
      </c>
      <c r="O442" s="7">
        <v>135.54</v>
      </c>
      <c r="P442" s="7">
        <v>0</v>
      </c>
      <c r="Q442" s="7">
        <v>0</v>
      </c>
      <c r="R442" s="7">
        <v>29</v>
      </c>
      <c r="S442" s="7">
        <v>28</v>
      </c>
      <c r="T442" s="7">
        <v>0</v>
      </c>
      <c r="U442" s="7">
        <v>0</v>
      </c>
      <c r="V442" s="7" t="s">
        <v>493</v>
      </c>
      <c r="W442" s="7" t="s">
        <v>493</v>
      </c>
      <c r="X442" s="7" t="s">
        <v>493</v>
      </c>
      <c r="Y442" s="7" t="s">
        <v>493</v>
      </c>
      <c r="Z442" s="7">
        <v>0</v>
      </c>
      <c r="AA442" s="7">
        <v>0</v>
      </c>
      <c r="AB442" s="7">
        <v>4</v>
      </c>
      <c r="AC442" s="7">
        <v>0</v>
      </c>
      <c r="AD442" s="7" t="s">
        <v>20</v>
      </c>
      <c r="AE442" s="8" t="s">
        <v>486</v>
      </c>
      <c r="AF442" s="7" t="s">
        <v>229</v>
      </c>
      <c r="AG442" s="7" t="s">
        <v>476</v>
      </c>
      <c r="AH442" s="7">
        <v>15</v>
      </c>
    </row>
    <row r="443" spans="1:34" x14ac:dyDescent="0.3">
      <c r="A443" s="4" t="s">
        <v>1389</v>
      </c>
      <c r="B443" s="4" t="s">
        <v>1390</v>
      </c>
      <c r="C443" s="4" t="s">
        <v>37</v>
      </c>
      <c r="D443" s="4" t="s">
        <v>555</v>
      </c>
      <c r="E443" s="4" t="s">
        <v>543</v>
      </c>
      <c r="F443" s="4" t="s">
        <v>490</v>
      </c>
      <c r="G443" s="4" t="s">
        <v>491</v>
      </c>
      <c r="H443" s="4" t="s">
        <v>492</v>
      </c>
      <c r="I443" s="4">
        <v>9</v>
      </c>
      <c r="J443" s="4">
        <v>9</v>
      </c>
      <c r="K443" s="4">
        <v>3</v>
      </c>
      <c r="L443" s="4">
        <v>173</v>
      </c>
      <c r="M443" s="4">
        <v>99</v>
      </c>
      <c r="N443" s="4">
        <v>28.83</v>
      </c>
      <c r="O443" s="4">
        <v>126.79</v>
      </c>
      <c r="P443" s="4">
        <v>0</v>
      </c>
      <c r="Q443" s="4">
        <v>0</v>
      </c>
      <c r="R443" s="4">
        <v>22</v>
      </c>
      <c r="S443" s="4">
        <v>19</v>
      </c>
      <c r="T443" s="4">
        <v>0</v>
      </c>
      <c r="U443" s="4">
        <v>0</v>
      </c>
      <c r="V443" s="4" t="s">
        <v>493</v>
      </c>
      <c r="W443" s="4" t="s">
        <v>493</v>
      </c>
      <c r="X443" s="4" t="s">
        <v>493</v>
      </c>
      <c r="Y443" s="4" t="s">
        <v>493</v>
      </c>
      <c r="Z443" s="4">
        <v>0</v>
      </c>
      <c r="AA443" s="4">
        <v>0</v>
      </c>
      <c r="AB443" s="4">
        <v>3</v>
      </c>
      <c r="AC443" s="4">
        <v>0</v>
      </c>
      <c r="AD443" s="4" t="s">
        <v>20</v>
      </c>
      <c r="AE443" s="3" t="s">
        <v>475</v>
      </c>
      <c r="AF443" s="4" t="s">
        <v>269</v>
      </c>
      <c r="AG443" s="4" t="s">
        <v>476</v>
      </c>
      <c r="AH443" s="4">
        <v>7.5</v>
      </c>
    </row>
    <row r="444" spans="1:34" x14ac:dyDescent="0.3">
      <c r="A444" s="7" t="s">
        <v>1391</v>
      </c>
      <c r="B444" s="7" t="s">
        <v>1392</v>
      </c>
      <c r="C444" s="7" t="s">
        <v>55</v>
      </c>
      <c r="D444" s="7" t="s">
        <v>588</v>
      </c>
      <c r="E444" s="7" t="s">
        <v>479</v>
      </c>
      <c r="F444" s="7" t="s">
        <v>471</v>
      </c>
      <c r="G444" s="7" t="s">
        <v>472</v>
      </c>
      <c r="H444" s="7" t="s">
        <v>480</v>
      </c>
      <c r="I444" s="7">
        <v>13</v>
      </c>
      <c r="J444" s="7">
        <v>11</v>
      </c>
      <c r="K444" s="7">
        <v>1</v>
      </c>
      <c r="L444" s="7">
        <v>68</v>
      </c>
      <c r="M444" s="7">
        <v>28</v>
      </c>
      <c r="N444" s="7">
        <v>6.8</v>
      </c>
      <c r="O444" s="7">
        <v>126</v>
      </c>
      <c r="P444" s="7">
        <v>0</v>
      </c>
      <c r="Q444" s="7">
        <v>0</v>
      </c>
      <c r="R444" s="7">
        <v>5</v>
      </c>
      <c r="S444" s="7">
        <v>3</v>
      </c>
      <c r="T444" s="7">
        <v>1</v>
      </c>
      <c r="U444" s="7">
        <v>15</v>
      </c>
      <c r="V444" s="7">
        <v>29.92</v>
      </c>
      <c r="W444" s="7">
        <v>10.27</v>
      </c>
      <c r="X444" s="7">
        <v>15.08</v>
      </c>
      <c r="Y444" s="7" t="s">
        <v>481</v>
      </c>
      <c r="Z444" s="7">
        <v>0</v>
      </c>
      <c r="AA444" s="7">
        <v>36.299999999999997</v>
      </c>
      <c r="AB444" s="7">
        <v>10</v>
      </c>
      <c r="AC444" s="7">
        <v>0</v>
      </c>
      <c r="AD444" s="7" t="s">
        <v>28</v>
      </c>
      <c r="AE444" s="3" t="s">
        <v>475</v>
      </c>
      <c r="AF444" s="7" t="s">
        <v>26</v>
      </c>
      <c r="AG444" s="7" t="s">
        <v>476</v>
      </c>
      <c r="AH444" s="7">
        <v>7.5</v>
      </c>
    </row>
    <row r="445" spans="1:34" x14ac:dyDescent="0.3">
      <c r="A445" s="4" t="s">
        <v>1393</v>
      </c>
      <c r="B445" s="4" t="s">
        <v>1394</v>
      </c>
      <c r="C445" s="4" t="s">
        <v>142</v>
      </c>
      <c r="D445" s="4" t="s">
        <v>684</v>
      </c>
      <c r="E445" s="4" t="s">
        <v>489</v>
      </c>
      <c r="F445" s="4" t="s">
        <v>490</v>
      </c>
      <c r="G445" s="4" t="s">
        <v>472</v>
      </c>
      <c r="H445" s="4" t="s">
        <v>492</v>
      </c>
      <c r="I445" s="4">
        <v>13</v>
      </c>
      <c r="J445" s="4">
        <v>12</v>
      </c>
      <c r="K445" s="4">
        <v>3</v>
      </c>
      <c r="L445" s="4">
        <v>299</v>
      </c>
      <c r="M445" s="4">
        <v>45</v>
      </c>
      <c r="N445" s="4">
        <v>33.22</v>
      </c>
      <c r="O445" s="4">
        <v>183.16</v>
      </c>
      <c r="P445" s="4">
        <v>0</v>
      </c>
      <c r="Q445" s="4">
        <v>0</v>
      </c>
      <c r="R445" s="4">
        <v>32</v>
      </c>
      <c r="S445" s="4">
        <v>27</v>
      </c>
      <c r="T445" s="4">
        <v>1</v>
      </c>
      <c r="U445" s="4">
        <v>0</v>
      </c>
      <c r="V445" s="4" t="s">
        <v>493</v>
      </c>
      <c r="W445" s="4" t="s">
        <v>493</v>
      </c>
      <c r="X445" s="4" t="s">
        <v>493</v>
      </c>
      <c r="Y445" s="4" t="s">
        <v>493</v>
      </c>
      <c r="Z445" s="4">
        <v>0</v>
      </c>
      <c r="AA445" s="4">
        <v>0</v>
      </c>
      <c r="AB445" s="4">
        <v>7</v>
      </c>
      <c r="AC445" s="4">
        <v>0</v>
      </c>
      <c r="AD445" s="4" t="s">
        <v>55</v>
      </c>
      <c r="AE445" s="8" t="s">
        <v>486</v>
      </c>
      <c r="AF445" s="4" t="s">
        <v>181</v>
      </c>
      <c r="AG445" s="4" t="s">
        <v>476</v>
      </c>
      <c r="AH445" s="4">
        <v>0.5</v>
      </c>
    </row>
    <row r="446" spans="1:34" x14ac:dyDescent="0.3">
      <c r="A446" s="7" t="s">
        <v>1395</v>
      </c>
      <c r="B446" s="7" t="s">
        <v>1396</v>
      </c>
      <c r="C446" s="7" t="s">
        <v>81</v>
      </c>
      <c r="D446" s="7" t="s">
        <v>750</v>
      </c>
      <c r="E446" s="7" t="s">
        <v>603</v>
      </c>
      <c r="F446" s="7" t="s">
        <v>471</v>
      </c>
      <c r="G446" s="7" t="s">
        <v>491</v>
      </c>
      <c r="H446" s="7" t="s">
        <v>473</v>
      </c>
      <c r="I446" s="7">
        <v>9</v>
      </c>
      <c r="J446" s="7">
        <v>8</v>
      </c>
      <c r="K446" s="7">
        <v>2</v>
      </c>
      <c r="L446" s="7">
        <v>48</v>
      </c>
      <c r="M446" s="7">
        <v>12</v>
      </c>
      <c r="N446" s="7">
        <v>8</v>
      </c>
      <c r="O446" s="7">
        <v>86.1</v>
      </c>
      <c r="P446" s="7">
        <v>0</v>
      </c>
      <c r="Q446" s="7">
        <v>0</v>
      </c>
      <c r="R446" s="7">
        <v>4</v>
      </c>
      <c r="S446" s="7">
        <v>2</v>
      </c>
      <c r="T446" s="7">
        <v>1</v>
      </c>
      <c r="U446" s="7">
        <v>7</v>
      </c>
      <c r="V446" s="7">
        <v>27.59</v>
      </c>
      <c r="W446" s="7">
        <v>9.11</v>
      </c>
      <c r="X446" s="7">
        <v>20.6</v>
      </c>
      <c r="Y446" s="7" t="s">
        <v>604</v>
      </c>
      <c r="Z446" s="7">
        <v>0</v>
      </c>
      <c r="AA446" s="7">
        <v>31.4</v>
      </c>
      <c r="AB446" s="7">
        <v>6</v>
      </c>
      <c r="AC446" s="7">
        <v>0</v>
      </c>
      <c r="AD446" s="7" t="s">
        <v>81</v>
      </c>
      <c r="AE446" s="3" t="s">
        <v>475</v>
      </c>
      <c r="AF446" s="7" t="s">
        <v>176</v>
      </c>
      <c r="AG446" s="7" t="s">
        <v>476</v>
      </c>
      <c r="AH446" s="7">
        <v>10</v>
      </c>
    </row>
    <row r="447" spans="1:34" x14ac:dyDescent="0.3">
      <c r="A447" s="4" t="s">
        <v>1397</v>
      </c>
      <c r="B447" s="4" t="s">
        <v>1398</v>
      </c>
      <c r="C447" s="4" t="s">
        <v>28</v>
      </c>
      <c r="D447" s="4" t="s">
        <v>779</v>
      </c>
      <c r="E447" s="4" t="s">
        <v>483</v>
      </c>
      <c r="F447" s="4" t="s">
        <v>471</v>
      </c>
      <c r="G447" s="4" t="s">
        <v>491</v>
      </c>
      <c r="H447" s="4" t="s">
        <v>514</v>
      </c>
      <c r="I447" s="4">
        <v>11</v>
      </c>
      <c r="J447" s="4">
        <v>10</v>
      </c>
      <c r="K447" s="4">
        <v>2</v>
      </c>
      <c r="L447" s="4">
        <v>286</v>
      </c>
      <c r="M447" s="4">
        <v>23</v>
      </c>
      <c r="N447" s="4">
        <v>35.75</v>
      </c>
      <c r="O447" s="4">
        <v>94.88</v>
      </c>
      <c r="P447" s="4">
        <v>0</v>
      </c>
      <c r="Q447" s="4">
        <v>0</v>
      </c>
      <c r="R447" s="4">
        <v>23</v>
      </c>
      <c r="S447" s="4">
        <v>14</v>
      </c>
      <c r="T447" s="4">
        <v>3</v>
      </c>
      <c r="U447" s="4">
        <v>14</v>
      </c>
      <c r="V447" s="4">
        <v>17.82</v>
      </c>
      <c r="W447" s="4">
        <v>7.13</v>
      </c>
      <c r="X447" s="4">
        <v>17.84</v>
      </c>
      <c r="Y447" s="4" t="s">
        <v>692</v>
      </c>
      <c r="Z447" s="4">
        <v>0</v>
      </c>
      <c r="AA447" s="4">
        <v>31.7</v>
      </c>
      <c r="AB447" s="4">
        <v>2</v>
      </c>
      <c r="AC447" s="4">
        <v>0</v>
      </c>
      <c r="AD447" s="4" t="s">
        <v>19</v>
      </c>
      <c r="AE447" s="3" t="s">
        <v>475</v>
      </c>
      <c r="AF447" s="4" t="s">
        <v>241</v>
      </c>
      <c r="AG447" s="4" t="s">
        <v>476</v>
      </c>
      <c r="AH447" s="4">
        <v>4</v>
      </c>
    </row>
    <row r="448" spans="1:34" x14ac:dyDescent="0.3">
      <c r="A448" s="7" t="s">
        <v>1399</v>
      </c>
      <c r="B448" s="7" t="s">
        <v>1400</v>
      </c>
      <c r="C448" s="7" t="s">
        <v>20</v>
      </c>
      <c r="D448" s="7" t="s">
        <v>523</v>
      </c>
      <c r="E448" s="7" t="s">
        <v>597</v>
      </c>
      <c r="F448" s="7" t="s">
        <v>471</v>
      </c>
      <c r="G448" s="7" t="s">
        <v>472</v>
      </c>
      <c r="H448" s="7" t="s">
        <v>509</v>
      </c>
      <c r="I448" s="7">
        <v>9</v>
      </c>
      <c r="J448" s="7">
        <v>8</v>
      </c>
      <c r="K448" s="7">
        <v>1</v>
      </c>
      <c r="L448" s="7">
        <v>163</v>
      </c>
      <c r="M448" s="7">
        <v>19</v>
      </c>
      <c r="N448" s="7">
        <v>23.29</v>
      </c>
      <c r="O448" s="7">
        <v>115.23</v>
      </c>
      <c r="P448" s="7">
        <v>0</v>
      </c>
      <c r="Q448" s="7">
        <v>0</v>
      </c>
      <c r="R448" s="7">
        <v>13</v>
      </c>
      <c r="S448" s="7">
        <v>8</v>
      </c>
      <c r="T448" s="7">
        <v>1</v>
      </c>
      <c r="U448" s="7">
        <v>15</v>
      </c>
      <c r="V448" s="7">
        <v>22.51</v>
      </c>
      <c r="W448" s="7">
        <v>6.77</v>
      </c>
      <c r="X448" s="7">
        <v>14.21</v>
      </c>
      <c r="Y448" s="7" t="s">
        <v>585</v>
      </c>
      <c r="Z448" s="7">
        <v>0</v>
      </c>
      <c r="AA448" s="7">
        <v>28.2</v>
      </c>
      <c r="AB448" s="7">
        <v>9</v>
      </c>
      <c r="AC448" s="7">
        <v>0</v>
      </c>
      <c r="AD448" s="7" t="s">
        <v>19</v>
      </c>
      <c r="AE448" s="3" t="s">
        <v>475</v>
      </c>
      <c r="AF448" s="7" t="s">
        <v>392</v>
      </c>
      <c r="AG448" s="7" t="s">
        <v>476</v>
      </c>
      <c r="AH448" s="7">
        <v>15</v>
      </c>
    </row>
    <row r="449" spans="1:34" x14ac:dyDescent="0.3">
      <c r="A449" s="4" t="s">
        <v>1401</v>
      </c>
      <c r="B449" s="4" t="s">
        <v>1402</v>
      </c>
      <c r="C449" s="4" t="s">
        <v>55</v>
      </c>
      <c r="D449" s="4" t="s">
        <v>588</v>
      </c>
      <c r="E449" s="4" t="s">
        <v>483</v>
      </c>
      <c r="F449" s="4" t="s">
        <v>490</v>
      </c>
      <c r="G449" s="4" t="s">
        <v>491</v>
      </c>
      <c r="H449" s="4" t="s">
        <v>492</v>
      </c>
      <c r="I449" s="4">
        <v>14</v>
      </c>
      <c r="J449" s="4">
        <v>14</v>
      </c>
      <c r="K449" s="4">
        <v>0</v>
      </c>
      <c r="L449" s="4">
        <v>745</v>
      </c>
      <c r="M449" s="4">
        <v>54</v>
      </c>
      <c r="N449" s="4">
        <v>53.21</v>
      </c>
      <c r="O449" s="4">
        <v>147.74</v>
      </c>
      <c r="P449" s="4">
        <v>1</v>
      </c>
      <c r="Q449" s="4">
        <v>0</v>
      </c>
      <c r="R449" s="4">
        <v>99</v>
      </c>
      <c r="S449" s="4">
        <v>62</v>
      </c>
      <c r="T449" s="4">
        <v>0</v>
      </c>
      <c r="U449" s="4">
        <v>0</v>
      </c>
      <c r="V449" s="4" t="s">
        <v>493</v>
      </c>
      <c r="W449" s="4" t="s">
        <v>493</v>
      </c>
      <c r="X449" s="4" t="s">
        <v>493</v>
      </c>
      <c r="Y449" s="4" t="s">
        <v>493</v>
      </c>
      <c r="Z449" s="4">
        <v>0</v>
      </c>
      <c r="AA449" s="4">
        <v>0</v>
      </c>
      <c r="AB449" s="4">
        <v>9</v>
      </c>
      <c r="AC449" s="4">
        <v>0</v>
      </c>
      <c r="AD449" s="4" t="s">
        <v>19</v>
      </c>
      <c r="AE449" s="3" t="s">
        <v>475</v>
      </c>
      <c r="AF449" s="4" t="s">
        <v>392</v>
      </c>
      <c r="AG449" s="4" t="s">
        <v>476</v>
      </c>
      <c r="AH449" s="4">
        <v>4</v>
      </c>
    </row>
    <row r="450" spans="1:34" x14ac:dyDescent="0.3">
      <c r="A450" s="7" t="s">
        <v>1403</v>
      </c>
      <c r="B450" s="7" t="s">
        <v>1404</v>
      </c>
      <c r="C450" s="7" t="s">
        <v>19</v>
      </c>
      <c r="D450" s="7" t="s">
        <v>469</v>
      </c>
      <c r="E450" s="7" t="s">
        <v>479</v>
      </c>
      <c r="F450" s="7" t="s">
        <v>484</v>
      </c>
      <c r="G450" s="7" t="s">
        <v>491</v>
      </c>
      <c r="H450" s="7" t="s">
        <v>473</v>
      </c>
      <c r="I450" s="7">
        <v>9</v>
      </c>
      <c r="J450" s="7">
        <v>7</v>
      </c>
      <c r="K450" s="7">
        <v>1</v>
      </c>
      <c r="L450" s="7">
        <v>124</v>
      </c>
      <c r="M450" s="7">
        <v>76</v>
      </c>
      <c r="N450" s="7">
        <v>20.67</v>
      </c>
      <c r="O450" s="7">
        <v>122.36</v>
      </c>
      <c r="P450" s="7">
        <v>0</v>
      </c>
      <c r="Q450" s="7">
        <v>0</v>
      </c>
      <c r="R450" s="7">
        <v>12</v>
      </c>
      <c r="S450" s="7">
        <v>7</v>
      </c>
      <c r="T450" s="7">
        <v>0</v>
      </c>
      <c r="U450" s="7">
        <v>10</v>
      </c>
      <c r="V450" s="7">
        <v>17.79</v>
      </c>
      <c r="W450" s="7">
        <v>8.09</v>
      </c>
      <c r="X450" s="7">
        <v>15.26</v>
      </c>
      <c r="Y450" s="7" t="s">
        <v>527</v>
      </c>
      <c r="Z450" s="7">
        <v>0</v>
      </c>
      <c r="AA450" s="7">
        <v>26.9</v>
      </c>
      <c r="AB450" s="7">
        <v>2</v>
      </c>
      <c r="AC450" s="7">
        <v>0</v>
      </c>
      <c r="AD450" s="7" t="s">
        <v>38</v>
      </c>
      <c r="AE450" s="8" t="s">
        <v>486</v>
      </c>
      <c r="AF450" s="7" t="s">
        <v>406</v>
      </c>
      <c r="AG450" s="7" t="s">
        <v>476</v>
      </c>
      <c r="AH450" s="7">
        <v>6</v>
      </c>
    </row>
    <row r="451" spans="1:34" x14ac:dyDescent="0.3">
      <c r="A451" s="4" t="s">
        <v>1405</v>
      </c>
      <c r="B451" s="4" t="s">
        <v>1406</v>
      </c>
      <c r="C451" s="4" t="s">
        <v>38</v>
      </c>
      <c r="D451" s="4" t="s">
        <v>654</v>
      </c>
      <c r="E451" s="4" t="s">
        <v>479</v>
      </c>
      <c r="F451" s="4" t="s">
        <v>490</v>
      </c>
      <c r="G451" s="4" t="s">
        <v>491</v>
      </c>
      <c r="H451" s="4" t="s">
        <v>492</v>
      </c>
      <c r="I451" s="4">
        <v>10</v>
      </c>
      <c r="J451" s="4">
        <v>8</v>
      </c>
      <c r="K451" s="4">
        <v>3</v>
      </c>
      <c r="L451" s="4">
        <v>261</v>
      </c>
      <c r="M451" s="4">
        <v>65</v>
      </c>
      <c r="N451" s="4">
        <v>52.2</v>
      </c>
      <c r="O451" s="4">
        <v>128.86000000000001</v>
      </c>
      <c r="P451" s="4">
        <v>0</v>
      </c>
      <c r="Q451" s="4">
        <v>0</v>
      </c>
      <c r="R451" s="4">
        <v>35</v>
      </c>
      <c r="S451" s="4">
        <v>13</v>
      </c>
      <c r="T451" s="4">
        <v>0</v>
      </c>
      <c r="U451" s="4">
        <v>0</v>
      </c>
      <c r="V451" s="4" t="s">
        <v>493</v>
      </c>
      <c r="W451" s="4" t="s">
        <v>493</v>
      </c>
      <c r="X451" s="4" t="s">
        <v>493</v>
      </c>
      <c r="Y451" s="4" t="s">
        <v>493</v>
      </c>
      <c r="Z451" s="4">
        <v>0</v>
      </c>
      <c r="AA451" s="4">
        <v>0</v>
      </c>
      <c r="AB451" s="4">
        <v>3</v>
      </c>
      <c r="AC451" s="4">
        <v>0</v>
      </c>
      <c r="AD451" s="4" t="s">
        <v>28</v>
      </c>
      <c r="AE451" s="3" t="s">
        <v>475</v>
      </c>
      <c r="AF451" s="4" t="s">
        <v>159</v>
      </c>
      <c r="AG451" s="4" t="s">
        <v>476</v>
      </c>
      <c r="AH451" s="4">
        <v>0.4</v>
      </c>
    </row>
    <row r="452" spans="1:34" x14ac:dyDescent="0.3">
      <c r="A452" s="7" t="s">
        <v>1407</v>
      </c>
      <c r="B452" s="7" t="s">
        <v>1408</v>
      </c>
      <c r="C452" s="7" t="s">
        <v>38</v>
      </c>
      <c r="D452" s="7" t="s">
        <v>654</v>
      </c>
      <c r="E452" s="7" t="s">
        <v>483</v>
      </c>
      <c r="F452" s="7" t="s">
        <v>471</v>
      </c>
      <c r="G452" s="7" t="s">
        <v>472</v>
      </c>
      <c r="H452" s="7" t="s">
        <v>473</v>
      </c>
      <c r="I452" s="7">
        <v>14</v>
      </c>
      <c r="J452" s="7">
        <v>13</v>
      </c>
      <c r="K452" s="7">
        <v>3</v>
      </c>
      <c r="L452" s="7">
        <v>276</v>
      </c>
      <c r="M452" s="7">
        <v>29</v>
      </c>
      <c r="N452" s="7">
        <v>27.6</v>
      </c>
      <c r="O452" s="7">
        <v>118.29</v>
      </c>
      <c r="P452" s="7">
        <v>0</v>
      </c>
      <c r="Q452" s="7">
        <v>0</v>
      </c>
      <c r="R452" s="7">
        <v>23</v>
      </c>
      <c r="S452" s="7">
        <v>13</v>
      </c>
      <c r="T452" s="7">
        <v>3</v>
      </c>
      <c r="U452" s="7">
        <v>31</v>
      </c>
      <c r="V452" s="7">
        <v>31.07</v>
      </c>
      <c r="W452" s="7">
        <v>6.57</v>
      </c>
      <c r="X452" s="7">
        <v>11.4</v>
      </c>
      <c r="Y452" s="7" t="s">
        <v>576</v>
      </c>
      <c r="Z452" s="7">
        <v>0</v>
      </c>
      <c r="AA452" s="7">
        <v>48.8</v>
      </c>
      <c r="AB452" s="7">
        <v>9</v>
      </c>
      <c r="AC452" s="7">
        <v>0</v>
      </c>
      <c r="AD452" s="7" t="s">
        <v>37</v>
      </c>
      <c r="AE452" s="3" t="s">
        <v>475</v>
      </c>
      <c r="AF452" s="7" t="s">
        <v>92</v>
      </c>
      <c r="AG452" s="7" t="s">
        <v>476</v>
      </c>
      <c r="AH452" s="7">
        <v>12.5</v>
      </c>
    </row>
    <row r="453" spans="1:34" x14ac:dyDescent="0.3">
      <c r="A453" s="4" t="s">
        <v>1409</v>
      </c>
      <c r="B453" s="4" t="s">
        <v>1410</v>
      </c>
      <c r="C453" s="4" t="s">
        <v>81</v>
      </c>
      <c r="D453" s="4" t="s">
        <v>750</v>
      </c>
      <c r="E453" s="4" t="s">
        <v>483</v>
      </c>
      <c r="F453" s="4" t="s">
        <v>484</v>
      </c>
      <c r="G453" s="4" t="s">
        <v>491</v>
      </c>
      <c r="H453" s="4" t="s">
        <v>473</v>
      </c>
      <c r="I453" s="4">
        <v>11</v>
      </c>
      <c r="J453" s="4">
        <v>10</v>
      </c>
      <c r="K453" s="4">
        <v>3</v>
      </c>
      <c r="L453" s="4">
        <v>128</v>
      </c>
      <c r="M453" s="4">
        <v>113</v>
      </c>
      <c r="N453" s="4">
        <v>18.29</v>
      </c>
      <c r="O453" s="4">
        <v>159.63999999999999</v>
      </c>
      <c r="P453" s="4">
        <v>0</v>
      </c>
      <c r="Q453" s="4">
        <v>0</v>
      </c>
      <c r="R453" s="4">
        <v>11</v>
      </c>
      <c r="S453" s="4">
        <v>7</v>
      </c>
      <c r="T453" s="4">
        <v>0</v>
      </c>
      <c r="U453" s="4">
        <v>13</v>
      </c>
      <c r="V453" s="4">
        <v>25.11</v>
      </c>
      <c r="W453" s="4">
        <v>9.69</v>
      </c>
      <c r="X453" s="4">
        <v>15.6</v>
      </c>
      <c r="Y453" s="4" t="s">
        <v>567</v>
      </c>
      <c r="Z453" s="4">
        <v>0</v>
      </c>
      <c r="AA453" s="4">
        <v>41.5</v>
      </c>
      <c r="AB453" s="4">
        <v>5</v>
      </c>
      <c r="AC453" s="4">
        <v>0</v>
      </c>
      <c r="AD453" s="4" t="s">
        <v>19</v>
      </c>
      <c r="AE453" s="8" t="s">
        <v>486</v>
      </c>
      <c r="AF453" s="4" t="s">
        <v>347</v>
      </c>
      <c r="AG453" s="4" t="s">
        <v>476</v>
      </c>
      <c r="AH453" s="4">
        <v>0.75</v>
      </c>
    </row>
    <row r="454" spans="1:34" x14ac:dyDescent="0.3">
      <c r="A454" s="7" t="s">
        <v>1411</v>
      </c>
      <c r="B454" s="7" t="s">
        <v>1412</v>
      </c>
      <c r="C454" s="7" t="s">
        <v>19</v>
      </c>
      <c r="D454" s="7" t="s">
        <v>469</v>
      </c>
      <c r="E454" s="7" t="s">
        <v>489</v>
      </c>
      <c r="F454" s="7" t="s">
        <v>471</v>
      </c>
      <c r="G454" s="7" t="s">
        <v>472</v>
      </c>
      <c r="H454" s="7" t="s">
        <v>500</v>
      </c>
      <c r="I454" s="7">
        <v>9</v>
      </c>
      <c r="J454" s="7">
        <v>7</v>
      </c>
      <c r="K454" s="7">
        <v>0</v>
      </c>
      <c r="L454" s="7">
        <v>210</v>
      </c>
      <c r="M454" s="7">
        <v>26</v>
      </c>
      <c r="N454" s="7">
        <v>30</v>
      </c>
      <c r="O454" s="7">
        <v>107.06</v>
      </c>
      <c r="P454" s="7">
        <v>0</v>
      </c>
      <c r="Q454" s="7">
        <v>0</v>
      </c>
      <c r="R454" s="7">
        <v>17</v>
      </c>
      <c r="S454" s="7">
        <v>10</v>
      </c>
      <c r="T454" s="7">
        <v>2</v>
      </c>
      <c r="U454" s="7">
        <v>20</v>
      </c>
      <c r="V454" s="7">
        <v>22.15</v>
      </c>
      <c r="W454" s="7">
        <v>7.7</v>
      </c>
      <c r="X454" s="7">
        <v>14.58</v>
      </c>
      <c r="Y454" s="7" t="s">
        <v>501</v>
      </c>
      <c r="Z454" s="7">
        <v>1</v>
      </c>
      <c r="AA454" s="7">
        <v>29.5</v>
      </c>
      <c r="AB454" s="7">
        <v>6</v>
      </c>
      <c r="AC454" s="7">
        <v>0</v>
      </c>
      <c r="AD454" s="7" t="s">
        <v>38</v>
      </c>
      <c r="AE454" s="8" t="s">
        <v>486</v>
      </c>
      <c r="AF454" s="7" t="s">
        <v>377</v>
      </c>
      <c r="AG454" s="7" t="s">
        <v>502</v>
      </c>
      <c r="AH454" s="7">
        <v>0.5</v>
      </c>
    </row>
    <row r="455" spans="1:34" x14ac:dyDescent="0.3">
      <c r="A455" s="4" t="s">
        <v>1413</v>
      </c>
      <c r="B455" s="4" t="s">
        <v>1414</v>
      </c>
      <c r="C455" s="4" t="s">
        <v>47</v>
      </c>
      <c r="D455" s="4" t="s">
        <v>717</v>
      </c>
      <c r="E455" s="4" t="s">
        <v>483</v>
      </c>
      <c r="F455" s="4" t="s">
        <v>490</v>
      </c>
      <c r="G455" s="4" t="s">
        <v>491</v>
      </c>
      <c r="H455" s="4" t="s">
        <v>492</v>
      </c>
      <c r="I455" s="4">
        <v>13</v>
      </c>
      <c r="J455" s="4">
        <v>11</v>
      </c>
      <c r="K455" s="4">
        <v>3</v>
      </c>
      <c r="L455" s="4">
        <v>405</v>
      </c>
      <c r="M455" s="4">
        <v>118</v>
      </c>
      <c r="N455" s="4">
        <v>50.62</v>
      </c>
      <c r="O455" s="4">
        <v>174.41</v>
      </c>
      <c r="P455" s="4">
        <v>0</v>
      </c>
      <c r="Q455" s="4">
        <v>0</v>
      </c>
      <c r="R455" s="4">
        <v>36</v>
      </c>
      <c r="S455" s="4">
        <v>28</v>
      </c>
      <c r="T455" s="4">
        <v>1</v>
      </c>
      <c r="U455" s="4">
        <v>0</v>
      </c>
      <c r="V455" s="4" t="s">
        <v>493</v>
      </c>
      <c r="W455" s="4" t="s">
        <v>493</v>
      </c>
      <c r="X455" s="4" t="s">
        <v>493</v>
      </c>
      <c r="Y455" s="4" t="s">
        <v>493</v>
      </c>
      <c r="Z455" s="4">
        <v>0</v>
      </c>
      <c r="AA455" s="4">
        <v>0</v>
      </c>
      <c r="AB455" s="4">
        <v>8</v>
      </c>
      <c r="AC455" s="4">
        <v>0</v>
      </c>
      <c r="AD455" s="4" t="s">
        <v>28</v>
      </c>
      <c r="AE455" s="8" t="s">
        <v>486</v>
      </c>
      <c r="AF455" s="4" t="s">
        <v>52</v>
      </c>
      <c r="AG455" s="4" t="s">
        <v>476</v>
      </c>
      <c r="AH455" s="4">
        <v>15</v>
      </c>
    </row>
    <row r="456" spans="1:34" x14ac:dyDescent="0.3">
      <c r="A456" s="7" t="s">
        <v>1415</v>
      </c>
      <c r="B456" s="7" t="s">
        <v>1416</v>
      </c>
      <c r="C456" s="7" t="s">
        <v>142</v>
      </c>
      <c r="D456" s="7" t="s">
        <v>684</v>
      </c>
      <c r="E456" s="7" t="s">
        <v>483</v>
      </c>
      <c r="F456" s="7" t="s">
        <v>484</v>
      </c>
      <c r="G456" s="7" t="s">
        <v>491</v>
      </c>
      <c r="H456" s="7" t="s">
        <v>556</v>
      </c>
      <c r="I456" s="7">
        <v>14</v>
      </c>
      <c r="J456" s="7">
        <v>13</v>
      </c>
      <c r="K456" s="7">
        <v>2</v>
      </c>
      <c r="L456" s="7">
        <v>494</v>
      </c>
      <c r="M456" s="7">
        <v>37</v>
      </c>
      <c r="N456" s="7">
        <v>44.91</v>
      </c>
      <c r="O456" s="7">
        <v>164.49</v>
      </c>
      <c r="P456" s="7">
        <v>0</v>
      </c>
      <c r="Q456" s="7">
        <v>0</v>
      </c>
      <c r="R456" s="7">
        <v>67</v>
      </c>
      <c r="S456" s="7">
        <v>25</v>
      </c>
      <c r="T456" s="7">
        <v>0</v>
      </c>
      <c r="U456" s="7">
        <v>8</v>
      </c>
      <c r="V456" s="7">
        <v>24.43</v>
      </c>
      <c r="W456" s="7">
        <v>9.48</v>
      </c>
      <c r="X456" s="7">
        <v>16.11</v>
      </c>
      <c r="Y456" s="7" t="s">
        <v>599</v>
      </c>
      <c r="Z456" s="7">
        <v>0</v>
      </c>
      <c r="AA456" s="7">
        <v>49.1</v>
      </c>
      <c r="AB456" s="7">
        <v>11</v>
      </c>
      <c r="AC456" s="7">
        <v>0</v>
      </c>
      <c r="AD456" s="7" t="s">
        <v>38</v>
      </c>
      <c r="AE456" s="8" t="s">
        <v>486</v>
      </c>
      <c r="AF456" s="7" t="s">
        <v>381</v>
      </c>
      <c r="AG456" s="7" t="s">
        <v>502</v>
      </c>
      <c r="AH456" s="7">
        <v>0.4</v>
      </c>
    </row>
    <row r="457" spans="1:34" x14ac:dyDescent="0.3">
      <c r="A457" s="4" t="s">
        <v>1417</v>
      </c>
      <c r="B457" s="4" t="s">
        <v>1418</v>
      </c>
      <c r="C457" s="4" t="s">
        <v>38</v>
      </c>
      <c r="D457" s="4" t="s">
        <v>654</v>
      </c>
      <c r="E457" s="4" t="s">
        <v>483</v>
      </c>
      <c r="F457" s="4" t="s">
        <v>484</v>
      </c>
      <c r="G457" s="4" t="s">
        <v>491</v>
      </c>
      <c r="H457" s="4" t="s">
        <v>473</v>
      </c>
      <c r="I457" s="4">
        <v>8</v>
      </c>
      <c r="J457" s="4">
        <v>6</v>
      </c>
      <c r="K457" s="4">
        <v>2</v>
      </c>
      <c r="L457" s="4">
        <v>186</v>
      </c>
      <c r="M457" s="4">
        <v>37</v>
      </c>
      <c r="N457" s="4">
        <v>46.5</v>
      </c>
      <c r="O457" s="4">
        <v>132.41</v>
      </c>
      <c r="P457" s="4">
        <v>0</v>
      </c>
      <c r="Q457" s="4">
        <v>0</v>
      </c>
      <c r="R457" s="4">
        <v>19</v>
      </c>
      <c r="S457" s="4">
        <v>16</v>
      </c>
      <c r="T457" s="4">
        <v>0</v>
      </c>
      <c r="U457" s="4">
        <v>15</v>
      </c>
      <c r="V457" s="4">
        <v>21.6</v>
      </c>
      <c r="W457" s="4">
        <v>9.6</v>
      </c>
      <c r="X457" s="4">
        <v>10.41</v>
      </c>
      <c r="Y457" s="4" t="s">
        <v>753</v>
      </c>
      <c r="Z457" s="4">
        <v>0</v>
      </c>
      <c r="AA457" s="4">
        <v>29.5</v>
      </c>
      <c r="AB457" s="4">
        <v>4</v>
      </c>
      <c r="AC457" s="4">
        <v>0</v>
      </c>
      <c r="AD457" s="4" t="s">
        <v>20</v>
      </c>
      <c r="AE457" s="3" t="s">
        <v>475</v>
      </c>
      <c r="AF457" s="4" t="s">
        <v>269</v>
      </c>
      <c r="AG457" s="4" t="s">
        <v>476</v>
      </c>
      <c r="AH457" s="4">
        <v>0.4</v>
      </c>
    </row>
    <row r="458" spans="1:34" x14ac:dyDescent="0.3">
      <c r="A458" s="7" t="s">
        <v>1419</v>
      </c>
      <c r="B458" s="7" t="s">
        <v>1420</v>
      </c>
      <c r="C458" s="7" t="s">
        <v>142</v>
      </c>
      <c r="D458" s="7" t="s">
        <v>684</v>
      </c>
      <c r="E458" s="7" t="s">
        <v>597</v>
      </c>
      <c r="F458" s="7" t="s">
        <v>471</v>
      </c>
      <c r="G458" s="7" t="s">
        <v>491</v>
      </c>
      <c r="H458" s="7" t="s">
        <v>556</v>
      </c>
      <c r="I458" s="7">
        <v>13</v>
      </c>
      <c r="J458" s="7">
        <v>13</v>
      </c>
      <c r="K458" s="7">
        <v>0</v>
      </c>
      <c r="L458" s="7">
        <v>186</v>
      </c>
      <c r="M458" s="7">
        <v>39</v>
      </c>
      <c r="N458" s="7">
        <v>14.31</v>
      </c>
      <c r="O458" s="7">
        <v>125.79</v>
      </c>
      <c r="P458" s="7">
        <v>0</v>
      </c>
      <c r="Q458" s="7">
        <v>0</v>
      </c>
      <c r="R458" s="7">
        <v>15</v>
      </c>
      <c r="S458" s="7">
        <v>9</v>
      </c>
      <c r="T458" s="7">
        <v>2</v>
      </c>
      <c r="U458" s="7">
        <v>14</v>
      </c>
      <c r="V458" s="7">
        <v>23.48</v>
      </c>
      <c r="W458" s="7">
        <v>7.48</v>
      </c>
      <c r="X458" s="7">
        <v>14.57</v>
      </c>
      <c r="Y458" s="7" t="s">
        <v>552</v>
      </c>
      <c r="Z458" s="7">
        <v>0</v>
      </c>
      <c r="AA458" s="7">
        <v>44.2</v>
      </c>
      <c r="AB458" s="7">
        <v>10</v>
      </c>
      <c r="AC458" s="7">
        <v>0</v>
      </c>
      <c r="AD458" s="7" t="s">
        <v>38</v>
      </c>
      <c r="AE458" s="8" t="s">
        <v>486</v>
      </c>
      <c r="AF458" s="7" t="s">
        <v>66</v>
      </c>
      <c r="AG458" s="7" t="s">
        <v>476</v>
      </c>
      <c r="AH458" s="7">
        <v>0.4</v>
      </c>
    </row>
    <row r="459" spans="1:34" x14ac:dyDescent="0.3">
      <c r="A459" s="4" t="s">
        <v>1421</v>
      </c>
      <c r="B459" s="4" t="s">
        <v>1422</v>
      </c>
      <c r="C459" s="4" t="s">
        <v>47</v>
      </c>
      <c r="D459" s="4" t="s">
        <v>717</v>
      </c>
      <c r="E459" s="4" t="s">
        <v>483</v>
      </c>
      <c r="F459" s="4" t="s">
        <v>490</v>
      </c>
      <c r="G459" s="4" t="s">
        <v>472</v>
      </c>
      <c r="H459" s="4" t="s">
        <v>492</v>
      </c>
      <c r="I459" s="4">
        <v>13</v>
      </c>
      <c r="J459" s="4">
        <v>12</v>
      </c>
      <c r="K459" s="4">
        <v>3</v>
      </c>
      <c r="L459" s="4">
        <v>314</v>
      </c>
      <c r="M459" s="4">
        <v>33</v>
      </c>
      <c r="N459" s="4">
        <v>34.89</v>
      </c>
      <c r="O459" s="4">
        <v>167.53</v>
      </c>
      <c r="P459" s="4">
        <v>0</v>
      </c>
      <c r="Q459" s="4">
        <v>0</v>
      </c>
      <c r="R459" s="4">
        <v>31</v>
      </c>
      <c r="S459" s="4">
        <v>31</v>
      </c>
      <c r="T459" s="4">
        <v>0</v>
      </c>
      <c r="U459" s="4">
        <v>0</v>
      </c>
      <c r="V459" s="4" t="s">
        <v>493</v>
      </c>
      <c r="W459" s="4" t="s">
        <v>493</v>
      </c>
      <c r="X459" s="4" t="s">
        <v>493</v>
      </c>
      <c r="Y459" s="4" t="s">
        <v>493</v>
      </c>
      <c r="Z459" s="4">
        <v>0</v>
      </c>
      <c r="AA459" s="4">
        <v>0</v>
      </c>
      <c r="AB459" s="4">
        <v>11</v>
      </c>
      <c r="AC459" s="4">
        <v>0</v>
      </c>
      <c r="AD459" s="4" t="s">
        <v>81</v>
      </c>
      <c r="AE459" s="3" t="s">
        <v>475</v>
      </c>
      <c r="AF459" s="4" t="s">
        <v>122</v>
      </c>
      <c r="AG459" s="4" t="s">
        <v>476</v>
      </c>
      <c r="AH459" s="4">
        <v>2</v>
      </c>
    </row>
    <row r="460" spans="1:34" x14ac:dyDescent="0.3">
      <c r="A460" s="7" t="s">
        <v>1423</v>
      </c>
      <c r="B460" s="7" t="s">
        <v>1424</v>
      </c>
      <c r="C460" s="7" t="s">
        <v>81</v>
      </c>
      <c r="D460" s="7" t="s">
        <v>750</v>
      </c>
      <c r="E460" s="7" t="s">
        <v>489</v>
      </c>
      <c r="F460" s="7" t="s">
        <v>490</v>
      </c>
      <c r="G460" s="7" t="s">
        <v>491</v>
      </c>
      <c r="H460" s="7" t="s">
        <v>492</v>
      </c>
      <c r="I460" s="7">
        <v>13</v>
      </c>
      <c r="J460" s="7">
        <v>11</v>
      </c>
      <c r="K460" s="7">
        <v>3</v>
      </c>
      <c r="L460" s="7">
        <v>368</v>
      </c>
      <c r="M460" s="7">
        <v>79</v>
      </c>
      <c r="N460" s="7">
        <v>46</v>
      </c>
      <c r="O460" s="7">
        <v>157.30000000000001</v>
      </c>
      <c r="P460" s="7">
        <v>0</v>
      </c>
      <c r="Q460" s="7">
        <v>0</v>
      </c>
      <c r="R460" s="7">
        <v>34</v>
      </c>
      <c r="S460" s="7">
        <v>21</v>
      </c>
      <c r="T460" s="7">
        <v>0</v>
      </c>
      <c r="U460" s="7">
        <v>0</v>
      </c>
      <c r="V460" s="7" t="s">
        <v>493</v>
      </c>
      <c r="W460" s="7" t="s">
        <v>493</v>
      </c>
      <c r="X460" s="7" t="s">
        <v>493</v>
      </c>
      <c r="Y460" s="7" t="s">
        <v>493</v>
      </c>
      <c r="Z460" s="7">
        <v>0</v>
      </c>
      <c r="AA460" s="7">
        <v>0</v>
      </c>
      <c r="AB460" s="7">
        <v>12</v>
      </c>
      <c r="AC460" s="7">
        <v>0</v>
      </c>
      <c r="AD460" s="7" t="s">
        <v>46</v>
      </c>
      <c r="AE460" s="8" t="s">
        <v>486</v>
      </c>
      <c r="AF460" s="7" t="s">
        <v>202</v>
      </c>
      <c r="AG460" s="7" t="s">
        <v>476</v>
      </c>
      <c r="AH460" s="7">
        <v>15</v>
      </c>
    </row>
    <row r="461" spans="1:34" x14ac:dyDescent="0.3">
      <c r="A461" s="4" t="s">
        <v>1425</v>
      </c>
      <c r="B461" s="4" t="s">
        <v>1426</v>
      </c>
      <c r="C461" s="4" t="s">
        <v>46</v>
      </c>
      <c r="D461" s="4" t="s">
        <v>622</v>
      </c>
      <c r="E461" s="4" t="s">
        <v>543</v>
      </c>
      <c r="F461" s="4" t="s">
        <v>490</v>
      </c>
      <c r="G461" s="4" t="s">
        <v>491</v>
      </c>
      <c r="H461" s="4" t="s">
        <v>492</v>
      </c>
      <c r="I461" s="4">
        <v>9</v>
      </c>
      <c r="J461" s="4">
        <v>9</v>
      </c>
      <c r="K461" s="4">
        <v>3</v>
      </c>
      <c r="L461" s="4">
        <v>173</v>
      </c>
      <c r="M461" s="4">
        <v>99</v>
      </c>
      <c r="N461" s="4">
        <v>28.83</v>
      </c>
      <c r="O461" s="4">
        <v>126.79</v>
      </c>
      <c r="P461" s="4">
        <v>0</v>
      </c>
      <c r="Q461" s="4">
        <v>0</v>
      </c>
      <c r="R461" s="4">
        <v>22</v>
      </c>
      <c r="S461" s="4">
        <v>19</v>
      </c>
      <c r="T461" s="4">
        <v>0</v>
      </c>
      <c r="U461" s="4">
        <v>0</v>
      </c>
      <c r="V461" s="4" t="s">
        <v>493</v>
      </c>
      <c r="W461" s="4" t="s">
        <v>493</v>
      </c>
      <c r="X461" s="4" t="s">
        <v>493</v>
      </c>
      <c r="Y461" s="4" t="s">
        <v>493</v>
      </c>
      <c r="Z461" s="4">
        <v>0</v>
      </c>
      <c r="AA461" s="4">
        <v>0</v>
      </c>
      <c r="AB461" s="4">
        <v>3</v>
      </c>
      <c r="AC461" s="4">
        <v>0</v>
      </c>
      <c r="AD461" s="4" t="s">
        <v>20</v>
      </c>
      <c r="AE461" s="3" t="s">
        <v>475</v>
      </c>
      <c r="AF461" s="4" t="s">
        <v>269</v>
      </c>
      <c r="AG461" s="4" t="s">
        <v>476</v>
      </c>
      <c r="AH461" s="4">
        <v>7.5</v>
      </c>
    </row>
    <row r="462" spans="1:34" x14ac:dyDescent="0.3">
      <c r="A462" s="7" t="s">
        <v>1427</v>
      </c>
      <c r="B462" s="7" t="s">
        <v>1428</v>
      </c>
      <c r="C462" s="7" t="s">
        <v>55</v>
      </c>
      <c r="D462" s="7" t="s">
        <v>588</v>
      </c>
      <c r="E462" s="7" t="s">
        <v>483</v>
      </c>
      <c r="F462" s="7" t="s">
        <v>490</v>
      </c>
      <c r="G462" s="7" t="s">
        <v>472</v>
      </c>
      <c r="H462" s="7" t="s">
        <v>492</v>
      </c>
      <c r="I462" s="7">
        <v>11</v>
      </c>
      <c r="J462" s="7">
        <v>11</v>
      </c>
      <c r="K462" s="7">
        <v>3</v>
      </c>
      <c r="L462" s="7">
        <v>341</v>
      </c>
      <c r="M462" s="7">
        <v>30</v>
      </c>
      <c r="N462" s="7">
        <v>42.62</v>
      </c>
      <c r="O462" s="7">
        <v>139.97999999999999</v>
      </c>
      <c r="P462" s="7">
        <v>0</v>
      </c>
      <c r="Q462" s="7">
        <v>0</v>
      </c>
      <c r="R462" s="7">
        <v>39</v>
      </c>
      <c r="S462" s="7">
        <v>40</v>
      </c>
      <c r="T462" s="7">
        <v>0</v>
      </c>
      <c r="U462" s="7">
        <v>0</v>
      </c>
      <c r="V462" s="7" t="s">
        <v>493</v>
      </c>
      <c r="W462" s="7" t="s">
        <v>493</v>
      </c>
      <c r="X462" s="7" t="s">
        <v>493</v>
      </c>
      <c r="Y462" s="7" t="s">
        <v>493</v>
      </c>
      <c r="Z462" s="7">
        <v>0</v>
      </c>
      <c r="AA462" s="7">
        <v>0</v>
      </c>
      <c r="AB462" s="7">
        <v>8</v>
      </c>
      <c r="AC462" s="7">
        <v>0</v>
      </c>
      <c r="AD462" s="7" t="s">
        <v>38</v>
      </c>
      <c r="AE462" s="3" t="s">
        <v>475</v>
      </c>
      <c r="AF462" s="7" t="s">
        <v>34</v>
      </c>
      <c r="AG462" s="7" t="s">
        <v>476</v>
      </c>
      <c r="AH462" s="7">
        <v>0.2</v>
      </c>
    </row>
    <row r="463" spans="1:34" x14ac:dyDescent="0.3">
      <c r="A463" s="4" t="s">
        <v>1429</v>
      </c>
      <c r="B463" s="4" t="s">
        <v>1430</v>
      </c>
      <c r="C463" s="4" t="s">
        <v>81</v>
      </c>
      <c r="D463" s="4" t="s">
        <v>750</v>
      </c>
      <c r="E463" s="4" t="s">
        <v>597</v>
      </c>
      <c r="F463" s="4" t="s">
        <v>484</v>
      </c>
      <c r="G463" s="4" t="s">
        <v>472</v>
      </c>
      <c r="H463" s="4" t="s">
        <v>473</v>
      </c>
      <c r="I463" s="4">
        <v>10</v>
      </c>
      <c r="J463" s="4">
        <v>10</v>
      </c>
      <c r="K463" s="4">
        <v>1</v>
      </c>
      <c r="L463" s="4">
        <v>394</v>
      </c>
      <c r="M463" s="4">
        <v>49</v>
      </c>
      <c r="N463" s="4">
        <v>43.78</v>
      </c>
      <c r="O463" s="4">
        <v>123.16</v>
      </c>
      <c r="P463" s="4">
        <v>0</v>
      </c>
      <c r="Q463" s="4">
        <v>0</v>
      </c>
      <c r="R463" s="4">
        <v>37</v>
      </c>
      <c r="S463" s="4">
        <v>43</v>
      </c>
      <c r="T463" s="4">
        <v>0</v>
      </c>
      <c r="U463" s="4">
        <v>8</v>
      </c>
      <c r="V463" s="4">
        <v>15.43</v>
      </c>
      <c r="W463" s="4">
        <v>8.61</v>
      </c>
      <c r="X463" s="4">
        <v>18.29</v>
      </c>
      <c r="Y463" s="4" t="s">
        <v>751</v>
      </c>
      <c r="Z463" s="4">
        <v>0</v>
      </c>
      <c r="AA463" s="4">
        <v>33</v>
      </c>
      <c r="AB463" s="4">
        <v>4</v>
      </c>
      <c r="AC463" s="4">
        <v>0</v>
      </c>
      <c r="AD463" s="4" t="s">
        <v>142</v>
      </c>
      <c r="AE463" s="3" t="s">
        <v>475</v>
      </c>
      <c r="AF463" s="4" t="s">
        <v>139</v>
      </c>
      <c r="AG463" s="4" t="s">
        <v>476</v>
      </c>
      <c r="AH463" s="4">
        <v>0.2</v>
      </c>
    </row>
    <row r="464" spans="1:34" x14ac:dyDescent="0.3">
      <c r="A464" s="7" t="s">
        <v>1431</v>
      </c>
      <c r="B464" s="7" t="s">
        <v>1432</v>
      </c>
      <c r="C464" s="7" t="s">
        <v>46</v>
      </c>
      <c r="D464" s="7" t="s">
        <v>622</v>
      </c>
      <c r="E464" s="7" t="s">
        <v>483</v>
      </c>
      <c r="F464" s="7" t="s">
        <v>484</v>
      </c>
      <c r="G464" s="7" t="s">
        <v>472</v>
      </c>
      <c r="H464" s="7" t="s">
        <v>480</v>
      </c>
      <c r="I464" s="7">
        <v>13</v>
      </c>
      <c r="J464" s="7">
        <v>13</v>
      </c>
      <c r="K464" s="7">
        <v>1</v>
      </c>
      <c r="L464" s="7">
        <v>645</v>
      </c>
      <c r="M464" s="7">
        <v>54</v>
      </c>
      <c r="N464" s="7">
        <v>53.75</v>
      </c>
      <c r="O464" s="7">
        <v>147.24</v>
      </c>
      <c r="P464" s="7">
        <v>1</v>
      </c>
      <c r="Q464" s="7">
        <v>0</v>
      </c>
      <c r="R464" s="7">
        <v>84</v>
      </c>
      <c r="S464" s="7">
        <v>49</v>
      </c>
      <c r="T464" s="7">
        <v>0</v>
      </c>
      <c r="U464" s="7">
        <v>6</v>
      </c>
      <c r="V464" s="7">
        <v>34.61</v>
      </c>
      <c r="W464" s="7">
        <v>7.28</v>
      </c>
      <c r="X464" s="7">
        <v>18.61</v>
      </c>
      <c r="Y464" s="7" t="s">
        <v>581</v>
      </c>
      <c r="Z464" s="7">
        <v>0</v>
      </c>
      <c r="AA464" s="7">
        <v>42.9</v>
      </c>
      <c r="AB464" s="7">
        <v>8</v>
      </c>
      <c r="AC464" s="7">
        <v>0</v>
      </c>
      <c r="AD464" s="7" t="s">
        <v>46</v>
      </c>
      <c r="AE464" s="3" t="s">
        <v>475</v>
      </c>
      <c r="AF464" s="7" t="s">
        <v>103</v>
      </c>
      <c r="AG464" s="7" t="s">
        <v>476</v>
      </c>
      <c r="AH464" s="7">
        <v>2</v>
      </c>
    </row>
    <row r="465" spans="1:34" x14ac:dyDescent="0.3">
      <c r="A465" s="4" t="s">
        <v>1433</v>
      </c>
      <c r="B465" s="4" t="s">
        <v>1434</v>
      </c>
      <c r="C465" s="4" t="s">
        <v>20</v>
      </c>
      <c r="D465" s="4" t="s">
        <v>523</v>
      </c>
      <c r="E465" s="4" t="s">
        <v>483</v>
      </c>
      <c r="F465" s="4" t="s">
        <v>484</v>
      </c>
      <c r="G465" s="4" t="s">
        <v>472</v>
      </c>
      <c r="H465" s="4" t="s">
        <v>480</v>
      </c>
      <c r="I465" s="4">
        <v>14</v>
      </c>
      <c r="J465" s="4">
        <v>12</v>
      </c>
      <c r="K465" s="4">
        <v>0</v>
      </c>
      <c r="L465" s="4">
        <v>636</v>
      </c>
      <c r="M465" s="4">
        <v>88</v>
      </c>
      <c r="N465" s="4">
        <v>53</v>
      </c>
      <c r="O465" s="4">
        <v>183.11</v>
      </c>
      <c r="P465" s="4">
        <v>1</v>
      </c>
      <c r="Q465" s="4">
        <v>0</v>
      </c>
      <c r="R465" s="4">
        <v>54</v>
      </c>
      <c r="S465" s="4">
        <v>70</v>
      </c>
      <c r="T465" s="4">
        <v>1</v>
      </c>
      <c r="U465" s="4">
        <v>16</v>
      </c>
      <c r="V465" s="4">
        <v>22.19</v>
      </c>
      <c r="W465" s="4">
        <v>8.6999999999999993</v>
      </c>
      <c r="X465" s="4">
        <v>17.190000000000001</v>
      </c>
      <c r="Y465" s="4" t="s">
        <v>678</v>
      </c>
      <c r="Z465" s="4">
        <v>0</v>
      </c>
      <c r="AA465" s="4">
        <v>46.5</v>
      </c>
      <c r="AB465" s="4">
        <v>10</v>
      </c>
      <c r="AC465" s="4">
        <v>0</v>
      </c>
      <c r="AD465" s="4" t="s">
        <v>142</v>
      </c>
      <c r="AE465" s="3" t="s">
        <v>475</v>
      </c>
      <c r="AF465" s="4" t="s">
        <v>187</v>
      </c>
      <c r="AG465" s="4" t="s">
        <v>476</v>
      </c>
      <c r="AH465" s="4">
        <v>0.75</v>
      </c>
    </row>
    <row r="466" spans="1:34" x14ac:dyDescent="0.3">
      <c r="A466" s="7" t="s">
        <v>1435</v>
      </c>
      <c r="B466" s="7" t="s">
        <v>1436</v>
      </c>
      <c r="C466" s="7" t="s">
        <v>20</v>
      </c>
      <c r="D466" s="7" t="s">
        <v>523</v>
      </c>
      <c r="E466" s="7" t="s">
        <v>483</v>
      </c>
      <c r="F466" s="7" t="s">
        <v>484</v>
      </c>
      <c r="G466" s="7" t="s">
        <v>491</v>
      </c>
      <c r="H466" s="7" t="s">
        <v>556</v>
      </c>
      <c r="I466" s="7">
        <v>14</v>
      </c>
      <c r="J466" s="7">
        <v>13</v>
      </c>
      <c r="K466" s="7">
        <v>2</v>
      </c>
      <c r="L466" s="7">
        <v>494</v>
      </c>
      <c r="M466" s="7">
        <v>37</v>
      </c>
      <c r="N466" s="7">
        <v>44.91</v>
      </c>
      <c r="O466" s="7">
        <v>164.49</v>
      </c>
      <c r="P466" s="7">
        <v>0</v>
      </c>
      <c r="Q466" s="7">
        <v>0</v>
      </c>
      <c r="R466" s="7">
        <v>67</v>
      </c>
      <c r="S466" s="7">
        <v>25</v>
      </c>
      <c r="T466" s="7">
        <v>0</v>
      </c>
      <c r="U466" s="7">
        <v>8</v>
      </c>
      <c r="V466" s="7">
        <v>24.43</v>
      </c>
      <c r="W466" s="7">
        <v>9.48</v>
      </c>
      <c r="X466" s="7">
        <v>16.11</v>
      </c>
      <c r="Y466" s="7" t="s">
        <v>599</v>
      </c>
      <c r="Z466" s="7">
        <v>0</v>
      </c>
      <c r="AA466" s="7">
        <v>49.1</v>
      </c>
      <c r="AB466" s="7">
        <v>11</v>
      </c>
      <c r="AC466" s="7">
        <v>0</v>
      </c>
      <c r="AD466" s="7" t="s">
        <v>38</v>
      </c>
      <c r="AE466" s="8" t="s">
        <v>486</v>
      </c>
      <c r="AF466" s="7" t="s">
        <v>381</v>
      </c>
      <c r="AG466" s="7" t="s">
        <v>502</v>
      </c>
      <c r="AH466" s="7">
        <v>0.4</v>
      </c>
    </row>
    <row r="467" spans="1:34" x14ac:dyDescent="0.3">
      <c r="A467" s="4" t="s">
        <v>1437</v>
      </c>
      <c r="B467" s="4" t="s">
        <v>1438</v>
      </c>
      <c r="C467" s="4" t="s">
        <v>19</v>
      </c>
      <c r="D467" s="4" t="s">
        <v>469</v>
      </c>
      <c r="E467" s="4" t="s">
        <v>483</v>
      </c>
      <c r="F467" s="4" t="s">
        <v>484</v>
      </c>
      <c r="G467" s="4" t="s">
        <v>472</v>
      </c>
      <c r="H467" s="4" t="s">
        <v>516</v>
      </c>
      <c r="I467" s="4">
        <v>9</v>
      </c>
      <c r="J467" s="4">
        <v>7</v>
      </c>
      <c r="K467" s="4">
        <v>3</v>
      </c>
      <c r="L467" s="4">
        <v>167</v>
      </c>
      <c r="M467" s="4">
        <v>110</v>
      </c>
      <c r="N467" s="4">
        <v>41.75</v>
      </c>
      <c r="O467" s="4">
        <v>111.25</v>
      </c>
      <c r="P467" s="4">
        <v>0</v>
      </c>
      <c r="Q467" s="4">
        <v>0</v>
      </c>
      <c r="R467" s="4">
        <v>21</v>
      </c>
      <c r="S467" s="4">
        <v>6</v>
      </c>
      <c r="T467" s="4">
        <v>0</v>
      </c>
      <c r="U467" s="4">
        <v>8</v>
      </c>
      <c r="V467" s="4">
        <v>15.6</v>
      </c>
      <c r="W467" s="4">
        <v>9.41</v>
      </c>
      <c r="X467" s="4">
        <v>11.55</v>
      </c>
      <c r="Y467" s="4" t="s">
        <v>541</v>
      </c>
      <c r="Z467" s="4">
        <v>0</v>
      </c>
      <c r="AA467" s="4">
        <v>23.3</v>
      </c>
      <c r="AB467" s="4">
        <v>4</v>
      </c>
      <c r="AC467" s="4">
        <v>0</v>
      </c>
      <c r="AD467" s="4" t="s">
        <v>47</v>
      </c>
      <c r="AE467" s="3" t="s">
        <v>475</v>
      </c>
      <c r="AF467" s="4" t="s">
        <v>298</v>
      </c>
      <c r="AG467" s="4" t="s">
        <v>476</v>
      </c>
      <c r="AH467" s="4">
        <v>4</v>
      </c>
    </row>
    <row r="468" spans="1:34" x14ac:dyDescent="0.3">
      <c r="A468" s="7" t="s">
        <v>1439</v>
      </c>
      <c r="B468" s="7" t="s">
        <v>1440</v>
      </c>
      <c r="C468" s="7" t="s">
        <v>55</v>
      </c>
      <c r="D468" s="7" t="s">
        <v>588</v>
      </c>
      <c r="E468" s="7" t="s">
        <v>483</v>
      </c>
      <c r="F468" s="7" t="s">
        <v>484</v>
      </c>
      <c r="G468" s="7" t="s">
        <v>491</v>
      </c>
      <c r="H468" s="7" t="s">
        <v>516</v>
      </c>
      <c r="I468" s="7">
        <v>13</v>
      </c>
      <c r="J468" s="7">
        <v>13</v>
      </c>
      <c r="K468" s="7">
        <v>0</v>
      </c>
      <c r="L468" s="7">
        <v>687</v>
      </c>
      <c r="M468" s="7">
        <v>42</v>
      </c>
      <c r="N468" s="7">
        <v>52.85</v>
      </c>
      <c r="O468" s="7">
        <v>167.89</v>
      </c>
      <c r="P468" s="7">
        <v>1</v>
      </c>
      <c r="Q468" s="7">
        <v>0</v>
      </c>
      <c r="R468" s="7">
        <v>74</v>
      </c>
      <c r="S468" s="7">
        <v>38</v>
      </c>
      <c r="T468" s="7">
        <v>1</v>
      </c>
      <c r="U468" s="7">
        <v>22</v>
      </c>
      <c r="V468" s="7">
        <v>15.25</v>
      </c>
      <c r="W468" s="7">
        <v>7.43</v>
      </c>
      <c r="X468" s="7">
        <v>12.26</v>
      </c>
      <c r="Y468" s="7" t="s">
        <v>637</v>
      </c>
      <c r="Z468" s="7">
        <v>0</v>
      </c>
      <c r="AA468" s="7">
        <v>43.8</v>
      </c>
      <c r="AB468" s="7">
        <v>3</v>
      </c>
      <c r="AC468" s="7">
        <v>0</v>
      </c>
      <c r="AD468" s="7" t="s">
        <v>55</v>
      </c>
      <c r="AE468" s="8" t="s">
        <v>486</v>
      </c>
      <c r="AF468" s="7" t="s">
        <v>165</v>
      </c>
      <c r="AG468" s="7" t="s">
        <v>476</v>
      </c>
      <c r="AH468" s="7">
        <v>6</v>
      </c>
    </row>
    <row r="469" spans="1:34" x14ac:dyDescent="0.3">
      <c r="A469" s="4" t="s">
        <v>1441</v>
      </c>
      <c r="B469" s="4" t="s">
        <v>1442</v>
      </c>
      <c r="C469" s="4" t="s">
        <v>28</v>
      </c>
      <c r="D469" s="4" t="s">
        <v>779</v>
      </c>
      <c r="E469" s="4" t="s">
        <v>483</v>
      </c>
      <c r="F469" s="4" t="s">
        <v>490</v>
      </c>
      <c r="G469" s="4" t="s">
        <v>472</v>
      </c>
      <c r="H469" s="4" t="s">
        <v>492</v>
      </c>
      <c r="I469" s="4">
        <v>13</v>
      </c>
      <c r="J469" s="4">
        <v>13</v>
      </c>
      <c r="K469" s="4">
        <v>2</v>
      </c>
      <c r="L469" s="4">
        <v>596</v>
      </c>
      <c r="M469" s="4">
        <v>59</v>
      </c>
      <c r="N469" s="4">
        <v>54.18</v>
      </c>
      <c r="O469" s="4">
        <v>126.16</v>
      </c>
      <c r="P469" s="4">
        <v>0</v>
      </c>
      <c r="Q469" s="4">
        <v>0</v>
      </c>
      <c r="R469" s="4">
        <v>56</v>
      </c>
      <c r="S469" s="4">
        <v>50</v>
      </c>
      <c r="T469" s="4">
        <v>0</v>
      </c>
      <c r="U469" s="4">
        <v>0</v>
      </c>
      <c r="V469" s="4" t="s">
        <v>493</v>
      </c>
      <c r="W469" s="4" t="s">
        <v>493</v>
      </c>
      <c r="X469" s="4" t="s">
        <v>493</v>
      </c>
      <c r="Y469" s="4" t="s">
        <v>493</v>
      </c>
      <c r="Z469" s="4">
        <v>0</v>
      </c>
      <c r="AA469" s="4">
        <v>0</v>
      </c>
      <c r="AB469" s="4">
        <v>9</v>
      </c>
      <c r="AC469" s="4">
        <v>0</v>
      </c>
      <c r="AD469" s="4" t="s">
        <v>37</v>
      </c>
      <c r="AE469" s="8" t="s">
        <v>486</v>
      </c>
      <c r="AF469" s="4" t="s">
        <v>303</v>
      </c>
      <c r="AG469" s="4" t="s">
        <v>476</v>
      </c>
      <c r="AH469" s="4">
        <v>3</v>
      </c>
    </row>
    <row r="470" spans="1:34" x14ac:dyDescent="0.3">
      <c r="A470" s="7" t="s">
        <v>1443</v>
      </c>
      <c r="B470" s="7" t="s">
        <v>1444</v>
      </c>
      <c r="C470" s="7" t="s">
        <v>46</v>
      </c>
      <c r="D470" s="7" t="s">
        <v>622</v>
      </c>
      <c r="E470" s="7" t="s">
        <v>543</v>
      </c>
      <c r="F470" s="7" t="s">
        <v>490</v>
      </c>
      <c r="G470" s="7" t="s">
        <v>491</v>
      </c>
      <c r="H470" s="7" t="s">
        <v>492</v>
      </c>
      <c r="I470" s="7">
        <v>9</v>
      </c>
      <c r="J470" s="7">
        <v>9</v>
      </c>
      <c r="K470" s="7">
        <v>3</v>
      </c>
      <c r="L470" s="7">
        <v>173</v>
      </c>
      <c r="M470" s="7">
        <v>99</v>
      </c>
      <c r="N470" s="7">
        <v>28.83</v>
      </c>
      <c r="O470" s="7">
        <v>126.79</v>
      </c>
      <c r="P470" s="7">
        <v>0</v>
      </c>
      <c r="Q470" s="7">
        <v>0</v>
      </c>
      <c r="R470" s="7">
        <v>22</v>
      </c>
      <c r="S470" s="7">
        <v>19</v>
      </c>
      <c r="T470" s="7">
        <v>0</v>
      </c>
      <c r="U470" s="7">
        <v>0</v>
      </c>
      <c r="V470" s="7" t="s">
        <v>493</v>
      </c>
      <c r="W470" s="7" t="s">
        <v>493</v>
      </c>
      <c r="X470" s="7" t="s">
        <v>493</v>
      </c>
      <c r="Y470" s="7" t="s">
        <v>493</v>
      </c>
      <c r="Z470" s="7">
        <v>0</v>
      </c>
      <c r="AA470" s="7">
        <v>0</v>
      </c>
      <c r="AB470" s="7">
        <v>3</v>
      </c>
      <c r="AC470" s="7">
        <v>0</v>
      </c>
      <c r="AD470" s="7" t="s">
        <v>20</v>
      </c>
      <c r="AE470" s="3" t="s">
        <v>475</v>
      </c>
      <c r="AF470" s="7" t="s">
        <v>269</v>
      </c>
      <c r="AG470" s="7" t="s">
        <v>476</v>
      </c>
      <c r="AH470" s="7">
        <v>7.5</v>
      </c>
    </row>
    <row r="471" spans="1:34" x14ac:dyDescent="0.3">
      <c r="A471" s="4" t="s">
        <v>1445</v>
      </c>
      <c r="B471" s="4" t="s">
        <v>1446</v>
      </c>
      <c r="C471" s="4" t="s">
        <v>20</v>
      </c>
      <c r="D471" s="4" t="s">
        <v>523</v>
      </c>
      <c r="E471" s="4" t="s">
        <v>483</v>
      </c>
      <c r="F471" s="4" t="s">
        <v>490</v>
      </c>
      <c r="G471" s="4" t="s">
        <v>491</v>
      </c>
      <c r="H471" s="4" t="s">
        <v>492</v>
      </c>
      <c r="I471" s="4">
        <v>9</v>
      </c>
      <c r="J471" s="4">
        <v>9</v>
      </c>
      <c r="K471" s="4">
        <v>3</v>
      </c>
      <c r="L471" s="4">
        <v>185</v>
      </c>
      <c r="M471" s="4">
        <v>64</v>
      </c>
      <c r="N471" s="4">
        <v>30.83</v>
      </c>
      <c r="O471" s="4">
        <v>176.77</v>
      </c>
      <c r="P471" s="4">
        <v>0</v>
      </c>
      <c r="Q471" s="4">
        <v>0</v>
      </c>
      <c r="R471" s="4">
        <v>17</v>
      </c>
      <c r="S471" s="4">
        <v>7</v>
      </c>
      <c r="T471" s="4">
        <v>0</v>
      </c>
      <c r="U471" s="4">
        <v>0</v>
      </c>
      <c r="V471" s="4" t="s">
        <v>493</v>
      </c>
      <c r="W471" s="4" t="s">
        <v>493</v>
      </c>
      <c r="X471" s="4" t="s">
        <v>493</v>
      </c>
      <c r="Y471" s="4" t="s">
        <v>493</v>
      </c>
      <c r="Z471" s="4">
        <v>0</v>
      </c>
      <c r="AA471" s="4">
        <v>0</v>
      </c>
      <c r="AB471" s="4">
        <v>9</v>
      </c>
      <c r="AC471" s="4">
        <v>0</v>
      </c>
      <c r="AD471" s="4" t="s">
        <v>37</v>
      </c>
      <c r="AE471" s="3" t="s">
        <v>475</v>
      </c>
      <c r="AF471" s="4" t="s">
        <v>247</v>
      </c>
      <c r="AG471" s="4" t="s">
        <v>476</v>
      </c>
      <c r="AH471" s="4">
        <v>1</v>
      </c>
    </row>
    <row r="472" spans="1:34" x14ac:dyDescent="0.3">
      <c r="A472" s="7" t="s">
        <v>1447</v>
      </c>
      <c r="B472" s="7" t="s">
        <v>1448</v>
      </c>
      <c r="C472" s="7" t="s">
        <v>81</v>
      </c>
      <c r="D472" s="7" t="s">
        <v>750</v>
      </c>
      <c r="E472" s="7" t="s">
        <v>483</v>
      </c>
      <c r="F472" s="7" t="s">
        <v>490</v>
      </c>
      <c r="G472" s="7" t="s">
        <v>491</v>
      </c>
      <c r="H472" s="7" t="s">
        <v>492</v>
      </c>
      <c r="I472" s="7">
        <v>9</v>
      </c>
      <c r="J472" s="7">
        <v>9</v>
      </c>
      <c r="K472" s="7">
        <v>3</v>
      </c>
      <c r="L472" s="7">
        <v>185</v>
      </c>
      <c r="M472" s="7">
        <v>64</v>
      </c>
      <c r="N472" s="7">
        <v>30.83</v>
      </c>
      <c r="O472" s="7">
        <v>176.77</v>
      </c>
      <c r="P472" s="7">
        <v>0</v>
      </c>
      <c r="Q472" s="7">
        <v>0</v>
      </c>
      <c r="R472" s="7">
        <v>17</v>
      </c>
      <c r="S472" s="7">
        <v>7</v>
      </c>
      <c r="T472" s="7">
        <v>0</v>
      </c>
      <c r="U472" s="7">
        <v>0</v>
      </c>
      <c r="V472" s="7" t="s">
        <v>493</v>
      </c>
      <c r="W472" s="7" t="s">
        <v>493</v>
      </c>
      <c r="X472" s="7" t="s">
        <v>493</v>
      </c>
      <c r="Y472" s="7" t="s">
        <v>493</v>
      </c>
      <c r="Z472" s="7">
        <v>0</v>
      </c>
      <c r="AA472" s="7">
        <v>0</v>
      </c>
      <c r="AB472" s="7">
        <v>9</v>
      </c>
      <c r="AC472" s="7">
        <v>0</v>
      </c>
      <c r="AD472" s="7" t="s">
        <v>37</v>
      </c>
      <c r="AE472" s="3" t="s">
        <v>475</v>
      </c>
      <c r="AF472" s="7" t="s">
        <v>247</v>
      </c>
      <c r="AG472" s="7" t="s">
        <v>476</v>
      </c>
      <c r="AH472" s="7">
        <v>1</v>
      </c>
    </row>
    <row r="473" spans="1:34" x14ac:dyDescent="0.3">
      <c r="A473" s="4" t="s">
        <v>1449</v>
      </c>
      <c r="B473" s="4" t="s">
        <v>1450</v>
      </c>
      <c r="C473" s="4" t="s">
        <v>28</v>
      </c>
      <c r="D473" s="4" t="s">
        <v>779</v>
      </c>
      <c r="E473" s="4" t="s">
        <v>543</v>
      </c>
      <c r="F473" s="4" t="s">
        <v>490</v>
      </c>
      <c r="G473" s="4" t="s">
        <v>491</v>
      </c>
      <c r="H473" s="4" t="s">
        <v>492</v>
      </c>
      <c r="I473" s="4">
        <v>9</v>
      </c>
      <c r="J473" s="4">
        <v>9</v>
      </c>
      <c r="K473" s="4">
        <v>3</v>
      </c>
      <c r="L473" s="4">
        <v>173</v>
      </c>
      <c r="M473" s="4">
        <v>99</v>
      </c>
      <c r="N473" s="4">
        <v>28.83</v>
      </c>
      <c r="O473" s="4">
        <v>126.79</v>
      </c>
      <c r="P473" s="4">
        <v>0</v>
      </c>
      <c r="Q473" s="4">
        <v>0</v>
      </c>
      <c r="R473" s="4">
        <v>22</v>
      </c>
      <c r="S473" s="4">
        <v>19</v>
      </c>
      <c r="T473" s="4">
        <v>0</v>
      </c>
      <c r="U473" s="4">
        <v>0</v>
      </c>
      <c r="V473" s="4" t="s">
        <v>493</v>
      </c>
      <c r="W473" s="4" t="s">
        <v>493</v>
      </c>
      <c r="X473" s="4" t="s">
        <v>493</v>
      </c>
      <c r="Y473" s="4" t="s">
        <v>493</v>
      </c>
      <c r="Z473" s="4">
        <v>0</v>
      </c>
      <c r="AA473" s="4">
        <v>0</v>
      </c>
      <c r="AB473" s="4">
        <v>3</v>
      </c>
      <c r="AC473" s="4">
        <v>0</v>
      </c>
      <c r="AD473" s="4" t="s">
        <v>20</v>
      </c>
      <c r="AE473" s="3" t="s">
        <v>475</v>
      </c>
      <c r="AF473" s="4" t="s">
        <v>269</v>
      </c>
      <c r="AG473" s="4" t="s">
        <v>476</v>
      </c>
      <c r="AH473" s="4">
        <v>7.5</v>
      </c>
    </row>
    <row r="474" spans="1:34" x14ac:dyDescent="0.3">
      <c r="A474" s="7" t="s">
        <v>1451</v>
      </c>
      <c r="B474" s="7" t="s">
        <v>1452</v>
      </c>
      <c r="C474" s="7" t="s">
        <v>19</v>
      </c>
      <c r="D474" s="7" t="s">
        <v>469</v>
      </c>
      <c r="E474" s="7" t="s">
        <v>603</v>
      </c>
      <c r="F474" s="7" t="s">
        <v>490</v>
      </c>
      <c r="G474" s="7" t="s">
        <v>491</v>
      </c>
      <c r="H474" s="7" t="s">
        <v>492</v>
      </c>
      <c r="I474" s="7">
        <v>8</v>
      </c>
      <c r="J474" s="7">
        <v>7</v>
      </c>
      <c r="K474" s="7">
        <v>2</v>
      </c>
      <c r="L474" s="7">
        <v>238</v>
      </c>
      <c r="M474" s="7">
        <v>50</v>
      </c>
      <c r="N474" s="7">
        <v>47.6</v>
      </c>
      <c r="O474" s="7">
        <v>143.96</v>
      </c>
      <c r="P474" s="7">
        <v>0</v>
      </c>
      <c r="Q474" s="7">
        <v>0</v>
      </c>
      <c r="R474" s="7">
        <v>30</v>
      </c>
      <c r="S474" s="7">
        <v>9</v>
      </c>
      <c r="T474" s="7">
        <v>0</v>
      </c>
      <c r="U474" s="7">
        <v>0</v>
      </c>
      <c r="V474" s="7" t="s">
        <v>493</v>
      </c>
      <c r="W474" s="7" t="s">
        <v>493</v>
      </c>
      <c r="X474" s="7" t="s">
        <v>493</v>
      </c>
      <c r="Y474" s="7" t="s">
        <v>493</v>
      </c>
      <c r="Z474" s="7">
        <v>0</v>
      </c>
      <c r="AA474" s="7">
        <v>0</v>
      </c>
      <c r="AB474" s="7">
        <v>2</v>
      </c>
      <c r="AC474" s="7">
        <v>0</v>
      </c>
      <c r="AD474" s="7" t="s">
        <v>46</v>
      </c>
      <c r="AE474" s="8" t="s">
        <v>486</v>
      </c>
      <c r="AF474" s="7" t="s">
        <v>43</v>
      </c>
      <c r="AG474" s="7" t="s">
        <v>476</v>
      </c>
      <c r="AH474" s="7">
        <v>10</v>
      </c>
    </row>
    <row r="475" spans="1:34" x14ac:dyDescent="0.3">
      <c r="A475" s="4" t="s">
        <v>1453</v>
      </c>
      <c r="B475" s="4" t="s">
        <v>1454</v>
      </c>
      <c r="C475" s="4" t="s">
        <v>81</v>
      </c>
      <c r="D475" s="4" t="s">
        <v>750</v>
      </c>
      <c r="E475" s="4" t="s">
        <v>543</v>
      </c>
      <c r="F475" s="4" t="s">
        <v>490</v>
      </c>
      <c r="G475" s="4" t="s">
        <v>472</v>
      </c>
      <c r="H475" s="4" t="s">
        <v>492</v>
      </c>
      <c r="I475" s="4">
        <v>14</v>
      </c>
      <c r="J475" s="4">
        <v>12</v>
      </c>
      <c r="K475" s="4">
        <v>1</v>
      </c>
      <c r="L475" s="4">
        <v>580</v>
      </c>
      <c r="M475" s="4">
        <v>64</v>
      </c>
      <c r="N475" s="4">
        <v>52.73</v>
      </c>
      <c r="O475" s="4">
        <v>127.09</v>
      </c>
      <c r="P475" s="4">
        <v>0</v>
      </c>
      <c r="Q475" s="4">
        <v>0</v>
      </c>
      <c r="R475" s="4">
        <v>46</v>
      </c>
      <c r="S475" s="4">
        <v>33</v>
      </c>
      <c r="T475" s="4">
        <v>0</v>
      </c>
      <c r="U475" s="4">
        <v>0</v>
      </c>
      <c r="V475" s="4" t="s">
        <v>493</v>
      </c>
      <c r="W475" s="4" t="s">
        <v>493</v>
      </c>
      <c r="X475" s="4" t="s">
        <v>493</v>
      </c>
      <c r="Y475" s="4" t="s">
        <v>493</v>
      </c>
      <c r="Z475" s="4">
        <v>0</v>
      </c>
      <c r="AA475" s="4">
        <v>0</v>
      </c>
      <c r="AB475" s="4">
        <v>4</v>
      </c>
      <c r="AC475" s="4">
        <v>0</v>
      </c>
      <c r="AD475" s="4" t="s">
        <v>20</v>
      </c>
      <c r="AE475" s="8" t="s">
        <v>486</v>
      </c>
      <c r="AF475" s="4" t="s">
        <v>159</v>
      </c>
      <c r="AG475" s="4" t="s">
        <v>476</v>
      </c>
      <c r="AH475" s="4">
        <v>4</v>
      </c>
    </row>
    <row r="476" spans="1:34" x14ac:dyDescent="0.3">
      <c r="A476" s="7" t="s">
        <v>1455</v>
      </c>
      <c r="B476" s="7" t="s">
        <v>1456</v>
      </c>
      <c r="C476" s="7" t="s">
        <v>46</v>
      </c>
      <c r="D476" s="7" t="s">
        <v>622</v>
      </c>
      <c r="E476" s="7" t="s">
        <v>483</v>
      </c>
      <c r="F476" s="7" t="s">
        <v>471</v>
      </c>
      <c r="G476" s="7" t="s">
        <v>491</v>
      </c>
      <c r="H476" s="7" t="s">
        <v>473</v>
      </c>
      <c r="I476" s="7">
        <v>9</v>
      </c>
      <c r="J476" s="7">
        <v>8</v>
      </c>
      <c r="K476" s="7">
        <v>2</v>
      </c>
      <c r="L476" s="7">
        <v>173</v>
      </c>
      <c r="M476" s="7">
        <v>37</v>
      </c>
      <c r="N476" s="7">
        <v>28.83</v>
      </c>
      <c r="O476" s="7">
        <v>127.32</v>
      </c>
      <c r="P476" s="7">
        <v>0</v>
      </c>
      <c r="Q476" s="7">
        <v>0</v>
      </c>
      <c r="R476" s="7">
        <v>14</v>
      </c>
      <c r="S476" s="7">
        <v>8</v>
      </c>
      <c r="T476" s="7">
        <v>3</v>
      </c>
      <c r="U476" s="7">
        <v>6</v>
      </c>
      <c r="V476" s="7">
        <v>15.44</v>
      </c>
      <c r="W476" s="7">
        <v>8.42</v>
      </c>
      <c r="X476" s="7">
        <v>19.11</v>
      </c>
      <c r="Y476" s="7" t="s">
        <v>631</v>
      </c>
      <c r="Z476" s="7">
        <v>0</v>
      </c>
      <c r="AA476" s="7">
        <v>31.6</v>
      </c>
      <c r="AB476" s="7">
        <v>2</v>
      </c>
      <c r="AC476" s="7">
        <v>0</v>
      </c>
      <c r="AD476" s="7" t="s">
        <v>81</v>
      </c>
      <c r="AE476" s="8" t="s">
        <v>486</v>
      </c>
      <c r="AF476" s="7" t="s">
        <v>196</v>
      </c>
      <c r="AG476" s="7" t="s">
        <v>476</v>
      </c>
      <c r="AH476" s="7">
        <v>6</v>
      </c>
    </row>
    <row r="477" spans="1:34" x14ac:dyDescent="0.3">
      <c r="A477" s="4" t="s">
        <v>1457</v>
      </c>
      <c r="B477" s="4" t="s">
        <v>1458</v>
      </c>
      <c r="C477" s="4" t="s">
        <v>142</v>
      </c>
      <c r="D477" s="4" t="s">
        <v>684</v>
      </c>
      <c r="E477" s="4" t="s">
        <v>483</v>
      </c>
      <c r="F477" s="4" t="s">
        <v>490</v>
      </c>
      <c r="G477" s="4" t="s">
        <v>491</v>
      </c>
      <c r="H477" s="4" t="s">
        <v>492</v>
      </c>
      <c r="I477" s="4">
        <v>12</v>
      </c>
      <c r="J477" s="4">
        <v>11</v>
      </c>
      <c r="K477" s="4">
        <v>1</v>
      </c>
      <c r="L477" s="4">
        <v>461</v>
      </c>
      <c r="M477" s="4">
        <v>77</v>
      </c>
      <c r="N477" s="4">
        <v>46.1</v>
      </c>
      <c r="O477" s="4">
        <v>115.23</v>
      </c>
      <c r="P477" s="4">
        <v>0</v>
      </c>
      <c r="Q477" s="4">
        <v>0</v>
      </c>
      <c r="R477" s="4">
        <v>40</v>
      </c>
      <c r="S477" s="4">
        <v>35</v>
      </c>
      <c r="T477" s="4">
        <v>0</v>
      </c>
      <c r="U477" s="4">
        <v>0</v>
      </c>
      <c r="V477" s="4" t="s">
        <v>493</v>
      </c>
      <c r="W477" s="4" t="s">
        <v>493</v>
      </c>
      <c r="X477" s="4" t="s">
        <v>493</v>
      </c>
      <c r="Y477" s="4" t="s">
        <v>493</v>
      </c>
      <c r="Z477" s="4">
        <v>0</v>
      </c>
      <c r="AA477" s="4">
        <v>0</v>
      </c>
      <c r="AB477" s="4">
        <v>2</v>
      </c>
      <c r="AC477" s="4">
        <v>0</v>
      </c>
      <c r="AD477" s="4" t="s">
        <v>81</v>
      </c>
      <c r="AE477" s="8" t="s">
        <v>486</v>
      </c>
      <c r="AF477" s="4" t="s">
        <v>171</v>
      </c>
      <c r="AG477" s="4" t="s">
        <v>476</v>
      </c>
      <c r="AH477" s="4">
        <v>18</v>
      </c>
    </row>
    <row r="478" spans="1:34" x14ac:dyDescent="0.3">
      <c r="A478" s="7" t="s">
        <v>1459</v>
      </c>
      <c r="B478" s="7" t="s">
        <v>1460</v>
      </c>
      <c r="C478" s="7" t="s">
        <v>19</v>
      </c>
      <c r="D478" s="7" t="s">
        <v>469</v>
      </c>
      <c r="E478" s="7" t="s">
        <v>483</v>
      </c>
      <c r="F478" s="7" t="s">
        <v>471</v>
      </c>
      <c r="G478" s="7" t="s">
        <v>491</v>
      </c>
      <c r="H478" s="7" t="s">
        <v>514</v>
      </c>
      <c r="I478" s="7">
        <v>13</v>
      </c>
      <c r="J478" s="7">
        <v>12</v>
      </c>
      <c r="K478" s="7">
        <v>1</v>
      </c>
      <c r="L478" s="7">
        <v>100</v>
      </c>
      <c r="M478" s="7">
        <v>17</v>
      </c>
      <c r="N478" s="7">
        <v>9.09</v>
      </c>
      <c r="O478" s="7">
        <v>124.13</v>
      </c>
      <c r="P478" s="7">
        <v>0</v>
      </c>
      <c r="Q478" s="7">
        <v>0</v>
      </c>
      <c r="R478" s="7">
        <v>8</v>
      </c>
      <c r="S478" s="7">
        <v>5</v>
      </c>
      <c r="T478" s="7">
        <v>0</v>
      </c>
      <c r="U478" s="7">
        <v>31</v>
      </c>
      <c r="V478" s="7">
        <v>26.69</v>
      </c>
      <c r="W478" s="7">
        <v>7.88</v>
      </c>
      <c r="X478" s="7">
        <v>19.760000000000002</v>
      </c>
      <c r="Y478" s="7" t="s">
        <v>585</v>
      </c>
      <c r="Z478" s="7">
        <v>0</v>
      </c>
      <c r="AA478" s="7">
        <v>37.299999999999997</v>
      </c>
      <c r="AB478" s="7">
        <v>11</v>
      </c>
      <c r="AC478" s="7">
        <v>0</v>
      </c>
      <c r="AD478" s="7" t="s">
        <v>142</v>
      </c>
      <c r="AE478" s="3" t="s">
        <v>475</v>
      </c>
      <c r="AF478" s="7" t="s">
        <v>274</v>
      </c>
      <c r="AG478" s="7" t="s">
        <v>502</v>
      </c>
      <c r="AH478" s="7">
        <v>21</v>
      </c>
    </row>
    <row r="479" spans="1:34" x14ac:dyDescent="0.3">
      <c r="A479" s="4" t="s">
        <v>1461</v>
      </c>
      <c r="B479" s="4" t="s">
        <v>1462</v>
      </c>
      <c r="C479" s="4" t="s">
        <v>81</v>
      </c>
      <c r="D479" s="4" t="s">
        <v>750</v>
      </c>
      <c r="E479" s="4" t="s">
        <v>483</v>
      </c>
      <c r="F479" s="4" t="s">
        <v>484</v>
      </c>
      <c r="G479" s="4" t="s">
        <v>491</v>
      </c>
      <c r="H479" s="4" t="s">
        <v>473</v>
      </c>
      <c r="I479" s="4">
        <v>11</v>
      </c>
      <c r="J479" s="4">
        <v>10</v>
      </c>
      <c r="K479" s="4">
        <v>3</v>
      </c>
      <c r="L479" s="4">
        <v>128</v>
      </c>
      <c r="M479" s="4">
        <v>113</v>
      </c>
      <c r="N479" s="4">
        <v>18.29</v>
      </c>
      <c r="O479" s="4">
        <v>159.63999999999999</v>
      </c>
      <c r="P479" s="4">
        <v>0</v>
      </c>
      <c r="Q479" s="4">
        <v>0</v>
      </c>
      <c r="R479" s="4">
        <v>11</v>
      </c>
      <c r="S479" s="4">
        <v>7</v>
      </c>
      <c r="T479" s="4">
        <v>0</v>
      </c>
      <c r="U479" s="4">
        <v>13</v>
      </c>
      <c r="V479" s="4">
        <v>25.11</v>
      </c>
      <c r="W479" s="4">
        <v>9.69</v>
      </c>
      <c r="X479" s="4">
        <v>15.6</v>
      </c>
      <c r="Y479" s="4" t="s">
        <v>567</v>
      </c>
      <c r="Z479" s="4">
        <v>0</v>
      </c>
      <c r="AA479" s="4">
        <v>41.5</v>
      </c>
      <c r="AB479" s="4">
        <v>5</v>
      </c>
      <c r="AC479" s="4">
        <v>0</v>
      </c>
      <c r="AD479" s="4" t="s">
        <v>19</v>
      </c>
      <c r="AE479" s="8" t="s">
        <v>486</v>
      </c>
      <c r="AF479" s="4" t="s">
        <v>347</v>
      </c>
      <c r="AG479" s="4" t="s">
        <v>476</v>
      </c>
      <c r="AH479" s="4">
        <v>0.75</v>
      </c>
    </row>
    <row r="480" spans="1:34" x14ac:dyDescent="0.3">
      <c r="A480" s="7" t="s">
        <v>1463</v>
      </c>
      <c r="B480" s="7" t="s">
        <v>1464</v>
      </c>
      <c r="C480" s="7" t="s">
        <v>47</v>
      </c>
      <c r="D480" s="7" t="s">
        <v>717</v>
      </c>
      <c r="E480" s="7" t="s">
        <v>483</v>
      </c>
      <c r="F480" s="7" t="s">
        <v>471</v>
      </c>
      <c r="G480" s="7" t="s">
        <v>472</v>
      </c>
      <c r="H480" s="7" t="s">
        <v>514</v>
      </c>
      <c r="I480" s="7">
        <v>8</v>
      </c>
      <c r="J480" s="7">
        <v>7</v>
      </c>
      <c r="K480" s="7">
        <v>3</v>
      </c>
      <c r="L480" s="7">
        <v>80</v>
      </c>
      <c r="M480" s="7">
        <v>18</v>
      </c>
      <c r="N480" s="7">
        <v>20</v>
      </c>
      <c r="O480" s="7">
        <v>104.74</v>
      </c>
      <c r="P480" s="7">
        <v>0</v>
      </c>
      <c r="Q480" s="7">
        <v>0</v>
      </c>
      <c r="R480" s="7">
        <v>6</v>
      </c>
      <c r="S480" s="7">
        <v>4</v>
      </c>
      <c r="T480" s="7">
        <v>2</v>
      </c>
      <c r="U480" s="7">
        <v>7</v>
      </c>
      <c r="V480" s="7">
        <v>31.15</v>
      </c>
      <c r="W480" s="7">
        <v>10.06</v>
      </c>
      <c r="X480" s="7">
        <v>15.87</v>
      </c>
      <c r="Y480" s="7" t="s">
        <v>583</v>
      </c>
      <c r="Z480" s="7">
        <v>0</v>
      </c>
      <c r="AA480" s="7">
        <v>29.7</v>
      </c>
      <c r="AB480" s="7">
        <v>3</v>
      </c>
      <c r="AC480" s="7">
        <v>0</v>
      </c>
      <c r="AD480" s="7" t="s">
        <v>142</v>
      </c>
      <c r="AE480" s="3" t="s">
        <v>475</v>
      </c>
      <c r="AF480" s="7" t="s">
        <v>328</v>
      </c>
      <c r="AG480" s="7" t="s">
        <v>476</v>
      </c>
      <c r="AH480" s="7">
        <v>1</v>
      </c>
    </row>
    <row r="481" spans="1:34" x14ac:dyDescent="0.3">
      <c r="A481" s="4" t="s">
        <v>1465</v>
      </c>
      <c r="B481" s="4" t="s">
        <v>1466</v>
      </c>
      <c r="C481" s="4" t="s">
        <v>28</v>
      </c>
      <c r="D481" s="4" t="s">
        <v>779</v>
      </c>
      <c r="E481" s="4" t="s">
        <v>483</v>
      </c>
      <c r="F481" s="4" t="s">
        <v>471</v>
      </c>
      <c r="G481" s="4" t="s">
        <v>491</v>
      </c>
      <c r="H481" s="4" t="s">
        <v>514</v>
      </c>
      <c r="I481" s="4">
        <v>13</v>
      </c>
      <c r="J481" s="4">
        <v>12</v>
      </c>
      <c r="K481" s="4">
        <v>1</v>
      </c>
      <c r="L481" s="4">
        <v>100</v>
      </c>
      <c r="M481" s="4">
        <v>17</v>
      </c>
      <c r="N481" s="4">
        <v>9.09</v>
      </c>
      <c r="O481" s="4">
        <v>124.13</v>
      </c>
      <c r="P481" s="4">
        <v>0</v>
      </c>
      <c r="Q481" s="4">
        <v>0</v>
      </c>
      <c r="R481" s="4">
        <v>8</v>
      </c>
      <c r="S481" s="4">
        <v>5</v>
      </c>
      <c r="T481" s="4">
        <v>0</v>
      </c>
      <c r="U481" s="4">
        <v>31</v>
      </c>
      <c r="V481" s="4">
        <v>26.69</v>
      </c>
      <c r="W481" s="4">
        <v>7.88</v>
      </c>
      <c r="X481" s="4">
        <v>19.760000000000002</v>
      </c>
      <c r="Y481" s="4" t="s">
        <v>585</v>
      </c>
      <c r="Z481" s="4">
        <v>0</v>
      </c>
      <c r="AA481" s="4">
        <v>37.299999999999997</v>
      </c>
      <c r="AB481" s="4">
        <v>11</v>
      </c>
      <c r="AC481" s="4">
        <v>0</v>
      </c>
      <c r="AD481" s="4" t="s">
        <v>142</v>
      </c>
      <c r="AE481" s="3" t="s">
        <v>475</v>
      </c>
      <c r="AF481" s="4" t="s">
        <v>274</v>
      </c>
      <c r="AG481" s="4" t="s">
        <v>502</v>
      </c>
      <c r="AH481" s="4">
        <v>21</v>
      </c>
    </row>
    <row r="482" spans="1:34" x14ac:dyDescent="0.3">
      <c r="A482" s="7" t="s">
        <v>1467</v>
      </c>
      <c r="B482" s="7" t="s">
        <v>1468</v>
      </c>
      <c r="C482" s="7" t="s">
        <v>28</v>
      </c>
      <c r="D482" s="7" t="s">
        <v>779</v>
      </c>
      <c r="E482" s="7" t="s">
        <v>597</v>
      </c>
      <c r="F482" s="7" t="s">
        <v>484</v>
      </c>
      <c r="G482" s="7" t="s">
        <v>472</v>
      </c>
      <c r="H482" s="7" t="s">
        <v>473</v>
      </c>
      <c r="I482" s="7">
        <v>10</v>
      </c>
      <c r="J482" s="7">
        <v>10</v>
      </c>
      <c r="K482" s="7">
        <v>1</v>
      </c>
      <c r="L482" s="7">
        <v>394</v>
      </c>
      <c r="M482" s="7">
        <v>49</v>
      </c>
      <c r="N482" s="7">
        <v>43.78</v>
      </c>
      <c r="O482" s="7">
        <v>123.16</v>
      </c>
      <c r="P482" s="7">
        <v>0</v>
      </c>
      <c r="Q482" s="7">
        <v>0</v>
      </c>
      <c r="R482" s="7">
        <v>37</v>
      </c>
      <c r="S482" s="7">
        <v>43</v>
      </c>
      <c r="T482" s="7">
        <v>0</v>
      </c>
      <c r="U482" s="7">
        <v>8</v>
      </c>
      <c r="V482" s="7">
        <v>15.43</v>
      </c>
      <c r="W482" s="7">
        <v>8.61</v>
      </c>
      <c r="X482" s="7">
        <v>18.29</v>
      </c>
      <c r="Y482" s="7" t="s">
        <v>751</v>
      </c>
      <c r="Z482" s="7">
        <v>0</v>
      </c>
      <c r="AA482" s="7">
        <v>33</v>
      </c>
      <c r="AB482" s="7">
        <v>4</v>
      </c>
      <c r="AC482" s="7">
        <v>0</v>
      </c>
      <c r="AD482" s="7" t="s">
        <v>142</v>
      </c>
      <c r="AE482" s="3" t="s">
        <v>475</v>
      </c>
      <c r="AF482" s="7" t="s">
        <v>139</v>
      </c>
      <c r="AG482" s="7" t="s">
        <v>476</v>
      </c>
      <c r="AH482" s="7">
        <v>0.2</v>
      </c>
    </row>
    <row r="483" spans="1:34" x14ac:dyDescent="0.3">
      <c r="A483" s="4" t="s">
        <v>1469</v>
      </c>
      <c r="B483" s="4" t="s">
        <v>1470</v>
      </c>
      <c r="C483" s="4" t="s">
        <v>20</v>
      </c>
      <c r="D483" s="4" t="s">
        <v>523</v>
      </c>
      <c r="E483" s="4" t="s">
        <v>483</v>
      </c>
      <c r="F483" s="4" t="s">
        <v>471</v>
      </c>
      <c r="G483" s="4" t="s">
        <v>472</v>
      </c>
      <c r="H483" s="4" t="s">
        <v>509</v>
      </c>
      <c r="I483" s="4">
        <v>14</v>
      </c>
      <c r="J483" s="4">
        <v>14</v>
      </c>
      <c r="K483" s="4">
        <v>2</v>
      </c>
      <c r="L483" s="4">
        <v>293</v>
      </c>
      <c r="M483" s="4">
        <v>8</v>
      </c>
      <c r="N483" s="4">
        <v>24.42</v>
      </c>
      <c r="O483" s="4">
        <v>106.17</v>
      </c>
      <c r="P483" s="4">
        <v>0</v>
      </c>
      <c r="Q483" s="4">
        <v>0</v>
      </c>
      <c r="R483" s="4">
        <v>24</v>
      </c>
      <c r="S483" s="4">
        <v>14</v>
      </c>
      <c r="T483" s="4">
        <v>0</v>
      </c>
      <c r="U483" s="4">
        <v>18</v>
      </c>
      <c r="V483" s="4">
        <v>14.73</v>
      </c>
      <c r="W483" s="4">
        <v>6.84</v>
      </c>
      <c r="X483" s="4">
        <v>13.41</v>
      </c>
      <c r="Y483" s="4" t="s">
        <v>529</v>
      </c>
      <c r="Z483" s="4">
        <v>0</v>
      </c>
      <c r="AA483" s="4">
        <v>36.200000000000003</v>
      </c>
      <c r="AB483" s="4">
        <v>13</v>
      </c>
      <c r="AC483" s="4">
        <v>0</v>
      </c>
      <c r="AD483" s="4" t="s">
        <v>28</v>
      </c>
      <c r="AE483" s="8" t="s">
        <v>486</v>
      </c>
      <c r="AF483" s="4" t="s">
        <v>372</v>
      </c>
      <c r="AG483" s="4" t="s">
        <v>476</v>
      </c>
      <c r="AH483" s="4">
        <v>0.5</v>
      </c>
    </row>
    <row r="484" spans="1:34" x14ac:dyDescent="0.3">
      <c r="A484" s="7" t="s">
        <v>1471</v>
      </c>
      <c r="B484" s="7" t="s">
        <v>1472</v>
      </c>
      <c r="C484" s="7" t="s">
        <v>37</v>
      </c>
      <c r="D484" s="7" t="s">
        <v>555</v>
      </c>
      <c r="E484" s="7" t="s">
        <v>597</v>
      </c>
      <c r="F484" s="7" t="s">
        <v>471</v>
      </c>
      <c r="G484" s="7" t="s">
        <v>472</v>
      </c>
      <c r="H484" s="7" t="s">
        <v>509</v>
      </c>
      <c r="I484" s="7">
        <v>9</v>
      </c>
      <c r="J484" s="7">
        <v>8</v>
      </c>
      <c r="K484" s="7">
        <v>1</v>
      </c>
      <c r="L484" s="7">
        <v>163</v>
      </c>
      <c r="M484" s="7">
        <v>19</v>
      </c>
      <c r="N484" s="7">
        <v>23.29</v>
      </c>
      <c r="O484" s="7">
        <v>115.23</v>
      </c>
      <c r="P484" s="7">
        <v>0</v>
      </c>
      <c r="Q484" s="7">
        <v>0</v>
      </c>
      <c r="R484" s="7">
        <v>13</v>
      </c>
      <c r="S484" s="7">
        <v>8</v>
      </c>
      <c r="T484" s="7">
        <v>1</v>
      </c>
      <c r="U484" s="7">
        <v>15</v>
      </c>
      <c r="V484" s="7">
        <v>22.51</v>
      </c>
      <c r="W484" s="7">
        <v>6.77</v>
      </c>
      <c r="X484" s="7">
        <v>14.21</v>
      </c>
      <c r="Y484" s="7" t="s">
        <v>585</v>
      </c>
      <c r="Z484" s="7">
        <v>0</v>
      </c>
      <c r="AA484" s="7">
        <v>28.2</v>
      </c>
      <c r="AB484" s="7">
        <v>9</v>
      </c>
      <c r="AC484" s="7">
        <v>0</v>
      </c>
      <c r="AD484" s="7" t="s">
        <v>19</v>
      </c>
      <c r="AE484" s="3" t="s">
        <v>475</v>
      </c>
      <c r="AF484" s="7" t="s">
        <v>392</v>
      </c>
      <c r="AG484" s="7" t="s">
        <v>476</v>
      </c>
      <c r="AH484" s="7">
        <v>15</v>
      </c>
    </row>
    <row r="485" spans="1:34" x14ac:dyDescent="0.3">
      <c r="A485" s="4" t="s">
        <v>1473</v>
      </c>
      <c r="B485" s="4" t="s">
        <v>1474</v>
      </c>
      <c r="C485" s="4" t="s">
        <v>142</v>
      </c>
      <c r="D485" s="4" t="s">
        <v>684</v>
      </c>
      <c r="E485" s="4" t="s">
        <v>483</v>
      </c>
      <c r="F485" s="4" t="s">
        <v>484</v>
      </c>
      <c r="G485" s="4" t="s">
        <v>472</v>
      </c>
      <c r="H485" s="4" t="s">
        <v>480</v>
      </c>
      <c r="I485" s="4">
        <v>14</v>
      </c>
      <c r="J485" s="4">
        <v>12</v>
      </c>
      <c r="K485" s="4">
        <v>0</v>
      </c>
      <c r="L485" s="4">
        <v>636</v>
      </c>
      <c r="M485" s="4">
        <v>88</v>
      </c>
      <c r="N485" s="4">
        <v>53</v>
      </c>
      <c r="O485" s="4">
        <v>183.11</v>
      </c>
      <c r="P485" s="4">
        <v>1</v>
      </c>
      <c r="Q485" s="4">
        <v>0</v>
      </c>
      <c r="R485" s="4">
        <v>54</v>
      </c>
      <c r="S485" s="4">
        <v>70</v>
      </c>
      <c r="T485" s="4">
        <v>1</v>
      </c>
      <c r="U485" s="4">
        <v>16</v>
      </c>
      <c r="V485" s="4">
        <v>22.19</v>
      </c>
      <c r="W485" s="4">
        <v>8.6999999999999993</v>
      </c>
      <c r="X485" s="4">
        <v>17.190000000000001</v>
      </c>
      <c r="Y485" s="4" t="s">
        <v>678</v>
      </c>
      <c r="Z485" s="4">
        <v>0</v>
      </c>
      <c r="AA485" s="4">
        <v>46.5</v>
      </c>
      <c r="AB485" s="4">
        <v>10</v>
      </c>
      <c r="AC485" s="4">
        <v>0</v>
      </c>
      <c r="AD485" s="4" t="s">
        <v>142</v>
      </c>
      <c r="AE485" s="3" t="s">
        <v>475</v>
      </c>
      <c r="AF485" s="4" t="s">
        <v>187</v>
      </c>
      <c r="AG485" s="4" t="s">
        <v>476</v>
      </c>
      <c r="AH485" s="4">
        <v>0.75</v>
      </c>
    </row>
    <row r="486" spans="1:34" x14ac:dyDescent="0.3">
      <c r="A486" s="7" t="s">
        <v>1475</v>
      </c>
      <c r="B486" s="7" t="s">
        <v>1476</v>
      </c>
      <c r="C486" s="7" t="s">
        <v>47</v>
      </c>
      <c r="D486" s="7" t="s">
        <v>717</v>
      </c>
      <c r="E486" s="7" t="s">
        <v>470</v>
      </c>
      <c r="F486" s="7" t="s">
        <v>490</v>
      </c>
      <c r="G486" s="7" t="s">
        <v>472</v>
      </c>
      <c r="H486" s="7" t="s">
        <v>492</v>
      </c>
      <c r="I486" s="7">
        <v>9</v>
      </c>
      <c r="J486" s="7">
        <v>8</v>
      </c>
      <c r="K486" s="7">
        <v>3</v>
      </c>
      <c r="L486" s="7">
        <v>159</v>
      </c>
      <c r="M486" s="7">
        <v>42</v>
      </c>
      <c r="N486" s="7">
        <v>31.8</v>
      </c>
      <c r="O486" s="7">
        <v>113.8</v>
      </c>
      <c r="P486" s="7">
        <v>0</v>
      </c>
      <c r="Q486" s="7">
        <v>0</v>
      </c>
      <c r="R486" s="7">
        <v>14</v>
      </c>
      <c r="S486" s="7">
        <v>6</v>
      </c>
      <c r="T486" s="7">
        <v>0</v>
      </c>
      <c r="U486" s="7">
        <v>0</v>
      </c>
      <c r="V486" s="7" t="s">
        <v>493</v>
      </c>
      <c r="W486" s="7" t="s">
        <v>493</v>
      </c>
      <c r="X486" s="7" t="s">
        <v>493</v>
      </c>
      <c r="Y486" s="7" t="s">
        <v>493</v>
      </c>
      <c r="Z486" s="7">
        <v>0</v>
      </c>
      <c r="AA486" s="7">
        <v>0</v>
      </c>
      <c r="AB486" s="7">
        <v>5</v>
      </c>
      <c r="AC486" s="7">
        <v>0</v>
      </c>
      <c r="AD486" s="7" t="s">
        <v>28</v>
      </c>
      <c r="AE486" s="8" t="s">
        <v>486</v>
      </c>
      <c r="AF486" s="7" t="s">
        <v>97</v>
      </c>
      <c r="AG486" s="7" t="s">
        <v>502</v>
      </c>
      <c r="AH486" s="7">
        <v>12.5</v>
      </c>
    </row>
    <row r="487" spans="1:34" x14ac:dyDescent="0.3">
      <c r="A487" s="4" t="s">
        <v>1477</v>
      </c>
      <c r="B487" s="4" t="s">
        <v>1478</v>
      </c>
      <c r="C487" s="4" t="s">
        <v>47</v>
      </c>
      <c r="D487" s="4" t="s">
        <v>717</v>
      </c>
      <c r="E487" s="4" t="s">
        <v>483</v>
      </c>
      <c r="F487" s="4" t="s">
        <v>471</v>
      </c>
      <c r="G487" s="4" t="s">
        <v>491</v>
      </c>
      <c r="H487" s="4" t="s">
        <v>556</v>
      </c>
      <c r="I487" s="4">
        <v>12</v>
      </c>
      <c r="J487" s="4">
        <v>10</v>
      </c>
      <c r="K487" s="4">
        <v>1</v>
      </c>
      <c r="L487" s="4">
        <v>25</v>
      </c>
      <c r="M487" s="4">
        <v>7</v>
      </c>
      <c r="N487" s="4">
        <v>2.78</v>
      </c>
      <c r="O487" s="4">
        <v>102.28</v>
      </c>
      <c r="P487" s="4">
        <v>0</v>
      </c>
      <c r="Q487" s="4">
        <v>0</v>
      </c>
      <c r="R487" s="4">
        <v>2</v>
      </c>
      <c r="S487" s="4">
        <v>1</v>
      </c>
      <c r="T487" s="4">
        <v>2</v>
      </c>
      <c r="U487" s="4">
        <v>18</v>
      </c>
      <c r="V487" s="4">
        <v>20.57</v>
      </c>
      <c r="W487" s="4">
        <v>9.49</v>
      </c>
      <c r="X487" s="4">
        <v>16.59</v>
      </c>
      <c r="Y487" s="4" t="s">
        <v>628</v>
      </c>
      <c r="Z487" s="4">
        <v>0</v>
      </c>
      <c r="AA487" s="4">
        <v>43</v>
      </c>
      <c r="AB487" s="4">
        <v>11</v>
      </c>
      <c r="AC487" s="4">
        <v>0</v>
      </c>
      <c r="AD487" s="4" t="s">
        <v>37</v>
      </c>
      <c r="AE487" s="8" t="s">
        <v>486</v>
      </c>
      <c r="AF487" s="4" t="s">
        <v>103</v>
      </c>
      <c r="AG487" s="4" t="s">
        <v>476</v>
      </c>
      <c r="AH487" s="4">
        <v>0.75</v>
      </c>
    </row>
    <row r="488" spans="1:34" x14ac:dyDescent="0.3">
      <c r="A488" s="7" t="s">
        <v>1479</v>
      </c>
      <c r="B488" s="7" t="s">
        <v>1480</v>
      </c>
      <c r="C488" s="7" t="s">
        <v>55</v>
      </c>
      <c r="D488" s="7" t="s">
        <v>588</v>
      </c>
      <c r="E488" s="7" t="s">
        <v>543</v>
      </c>
      <c r="F488" s="7" t="s">
        <v>490</v>
      </c>
      <c r="G488" s="7" t="s">
        <v>472</v>
      </c>
      <c r="H488" s="7" t="s">
        <v>492</v>
      </c>
      <c r="I488" s="7">
        <v>14</v>
      </c>
      <c r="J488" s="7">
        <v>12</v>
      </c>
      <c r="K488" s="7">
        <v>1</v>
      </c>
      <c r="L488" s="7">
        <v>580</v>
      </c>
      <c r="M488" s="7">
        <v>64</v>
      </c>
      <c r="N488" s="7">
        <v>52.73</v>
      </c>
      <c r="O488" s="7">
        <v>127.09</v>
      </c>
      <c r="P488" s="7">
        <v>0</v>
      </c>
      <c r="Q488" s="7">
        <v>0</v>
      </c>
      <c r="R488" s="7">
        <v>46</v>
      </c>
      <c r="S488" s="7">
        <v>33</v>
      </c>
      <c r="T488" s="7">
        <v>0</v>
      </c>
      <c r="U488" s="7">
        <v>0</v>
      </c>
      <c r="V488" s="7" t="s">
        <v>493</v>
      </c>
      <c r="W488" s="7" t="s">
        <v>493</v>
      </c>
      <c r="X488" s="7" t="s">
        <v>493</v>
      </c>
      <c r="Y488" s="7" t="s">
        <v>493</v>
      </c>
      <c r="Z488" s="7">
        <v>0</v>
      </c>
      <c r="AA488" s="7">
        <v>0</v>
      </c>
      <c r="AB488" s="7">
        <v>4</v>
      </c>
      <c r="AC488" s="7">
        <v>0</v>
      </c>
      <c r="AD488" s="7" t="s">
        <v>20</v>
      </c>
      <c r="AE488" s="8" t="s">
        <v>486</v>
      </c>
      <c r="AF488" s="7" t="s">
        <v>159</v>
      </c>
      <c r="AG488" s="7" t="s">
        <v>476</v>
      </c>
      <c r="AH488" s="7">
        <v>4</v>
      </c>
    </row>
    <row r="489" spans="1:34" x14ac:dyDescent="0.3">
      <c r="A489" s="4" t="s">
        <v>1481</v>
      </c>
      <c r="B489" s="4" t="s">
        <v>1482</v>
      </c>
      <c r="C489" s="4" t="s">
        <v>142</v>
      </c>
      <c r="D489" s="4" t="s">
        <v>684</v>
      </c>
      <c r="E489" s="4" t="s">
        <v>597</v>
      </c>
      <c r="F489" s="4" t="s">
        <v>471</v>
      </c>
      <c r="G489" s="4" t="s">
        <v>491</v>
      </c>
      <c r="H489" s="4" t="s">
        <v>500</v>
      </c>
      <c r="I489" s="4">
        <v>12</v>
      </c>
      <c r="J489" s="4">
        <v>10</v>
      </c>
      <c r="K489" s="4">
        <v>1</v>
      </c>
      <c r="L489" s="4">
        <v>95</v>
      </c>
      <c r="M489" s="4">
        <v>17</v>
      </c>
      <c r="N489" s="4">
        <v>10.56</v>
      </c>
      <c r="O489" s="4">
        <v>93.33</v>
      </c>
      <c r="P489" s="4">
        <v>0</v>
      </c>
      <c r="Q489" s="4">
        <v>0</v>
      </c>
      <c r="R489" s="4">
        <v>7</v>
      </c>
      <c r="S489" s="4">
        <v>4</v>
      </c>
      <c r="T489" s="4">
        <v>2</v>
      </c>
      <c r="U489" s="4">
        <v>6</v>
      </c>
      <c r="V489" s="4">
        <v>32.340000000000003</v>
      </c>
      <c r="W489" s="4">
        <v>9.19</v>
      </c>
      <c r="X489" s="4">
        <v>18.239999999999998</v>
      </c>
      <c r="Y489" s="4" t="s">
        <v>746</v>
      </c>
      <c r="Z489" s="4">
        <v>0</v>
      </c>
      <c r="AA489" s="4">
        <v>41.7</v>
      </c>
      <c r="AB489" s="4">
        <v>9</v>
      </c>
      <c r="AC489" s="4">
        <v>0</v>
      </c>
      <c r="AD489" s="4" t="s">
        <v>28</v>
      </c>
      <c r="AE489" s="3" t="s">
        <v>475</v>
      </c>
      <c r="AF489" s="4" t="s">
        <v>207</v>
      </c>
      <c r="AG489" s="4" t="s">
        <v>476</v>
      </c>
      <c r="AH489" s="4">
        <v>18</v>
      </c>
    </row>
    <row r="490" spans="1:34" x14ac:dyDescent="0.3">
      <c r="A490" s="7" t="s">
        <v>1483</v>
      </c>
      <c r="B490" s="7" t="s">
        <v>1484</v>
      </c>
      <c r="C490" s="7" t="s">
        <v>37</v>
      </c>
      <c r="D490" s="7" t="s">
        <v>555</v>
      </c>
      <c r="E490" s="7" t="s">
        <v>483</v>
      </c>
      <c r="F490" s="7" t="s">
        <v>490</v>
      </c>
      <c r="G490" s="7" t="s">
        <v>472</v>
      </c>
      <c r="H490" s="7" t="s">
        <v>492</v>
      </c>
      <c r="I490" s="7">
        <v>9</v>
      </c>
      <c r="J490" s="7">
        <v>9</v>
      </c>
      <c r="K490" s="7">
        <v>1</v>
      </c>
      <c r="L490" s="7">
        <v>187</v>
      </c>
      <c r="M490" s="7">
        <v>109</v>
      </c>
      <c r="N490" s="7">
        <v>23.38</v>
      </c>
      <c r="O490" s="7">
        <v>162.22</v>
      </c>
      <c r="P490" s="7">
        <v>0</v>
      </c>
      <c r="Q490" s="7">
        <v>0</v>
      </c>
      <c r="R490" s="7">
        <v>20</v>
      </c>
      <c r="S490" s="7">
        <v>7</v>
      </c>
      <c r="T490" s="7">
        <v>0</v>
      </c>
      <c r="U490" s="7">
        <v>0</v>
      </c>
      <c r="V490" s="7" t="s">
        <v>493</v>
      </c>
      <c r="W490" s="7" t="s">
        <v>493</v>
      </c>
      <c r="X490" s="7" t="s">
        <v>493</v>
      </c>
      <c r="Y490" s="7" t="s">
        <v>493</v>
      </c>
      <c r="Z490" s="7">
        <v>0</v>
      </c>
      <c r="AA490" s="7">
        <v>0</v>
      </c>
      <c r="AB490" s="7">
        <v>9</v>
      </c>
      <c r="AC490" s="7">
        <v>0</v>
      </c>
      <c r="AD490" s="7" t="s">
        <v>37</v>
      </c>
      <c r="AE490" s="8" t="s">
        <v>486</v>
      </c>
      <c r="AF490" s="7" t="s">
        <v>34</v>
      </c>
      <c r="AG490" s="7" t="s">
        <v>476</v>
      </c>
      <c r="AH490" s="7">
        <v>7.5</v>
      </c>
    </row>
    <row r="491" spans="1:34" x14ac:dyDescent="0.3">
      <c r="A491" s="4" t="s">
        <v>1485</v>
      </c>
      <c r="B491" s="4" t="s">
        <v>1486</v>
      </c>
      <c r="C491" s="4" t="s">
        <v>20</v>
      </c>
      <c r="D491" s="4" t="s">
        <v>523</v>
      </c>
      <c r="E491" s="4" t="s">
        <v>483</v>
      </c>
      <c r="F491" s="4" t="s">
        <v>490</v>
      </c>
      <c r="G491" s="4" t="s">
        <v>491</v>
      </c>
      <c r="H491" s="4" t="s">
        <v>492</v>
      </c>
      <c r="I491" s="4">
        <v>13</v>
      </c>
      <c r="J491" s="4">
        <v>11</v>
      </c>
      <c r="K491" s="4">
        <v>3</v>
      </c>
      <c r="L491" s="4">
        <v>405</v>
      </c>
      <c r="M491" s="4">
        <v>118</v>
      </c>
      <c r="N491" s="4">
        <v>50.62</v>
      </c>
      <c r="O491" s="4">
        <v>174.41</v>
      </c>
      <c r="P491" s="4">
        <v>0</v>
      </c>
      <c r="Q491" s="4">
        <v>0</v>
      </c>
      <c r="R491" s="4">
        <v>36</v>
      </c>
      <c r="S491" s="4">
        <v>28</v>
      </c>
      <c r="T491" s="4">
        <v>1</v>
      </c>
      <c r="U491" s="4">
        <v>0</v>
      </c>
      <c r="V491" s="4" t="s">
        <v>493</v>
      </c>
      <c r="W491" s="4" t="s">
        <v>493</v>
      </c>
      <c r="X491" s="4" t="s">
        <v>493</v>
      </c>
      <c r="Y491" s="4" t="s">
        <v>493</v>
      </c>
      <c r="Z491" s="4">
        <v>0</v>
      </c>
      <c r="AA491" s="4">
        <v>0</v>
      </c>
      <c r="AB491" s="4">
        <v>8</v>
      </c>
      <c r="AC491" s="4">
        <v>0</v>
      </c>
      <c r="AD491" s="4" t="s">
        <v>28</v>
      </c>
      <c r="AE491" s="8" t="s">
        <v>486</v>
      </c>
      <c r="AF491" s="4" t="s">
        <v>52</v>
      </c>
      <c r="AG491" s="4" t="s">
        <v>476</v>
      </c>
      <c r="AH491" s="4">
        <v>15</v>
      </c>
    </row>
    <row r="492" spans="1:34" x14ac:dyDescent="0.3">
      <c r="A492" s="7" t="s">
        <v>1487</v>
      </c>
      <c r="B492" s="7" t="s">
        <v>1488</v>
      </c>
      <c r="C492" s="7" t="s">
        <v>38</v>
      </c>
      <c r="D492" s="7" t="s">
        <v>654</v>
      </c>
      <c r="E492" s="7" t="s">
        <v>483</v>
      </c>
      <c r="F492" s="7" t="s">
        <v>490</v>
      </c>
      <c r="G492" s="7" t="s">
        <v>472</v>
      </c>
      <c r="H492" s="7" t="s">
        <v>492</v>
      </c>
      <c r="I492" s="7">
        <v>8</v>
      </c>
      <c r="J492" s="7">
        <v>6</v>
      </c>
      <c r="K492" s="7">
        <v>3</v>
      </c>
      <c r="L492" s="7">
        <v>92</v>
      </c>
      <c r="M492" s="7">
        <v>68</v>
      </c>
      <c r="N492" s="7">
        <v>30.67</v>
      </c>
      <c r="O492" s="7">
        <v>154.18</v>
      </c>
      <c r="P492" s="7">
        <v>0</v>
      </c>
      <c r="Q492" s="7">
        <v>0</v>
      </c>
      <c r="R492" s="7">
        <v>7</v>
      </c>
      <c r="S492" s="7">
        <v>9</v>
      </c>
      <c r="T492" s="7">
        <v>0</v>
      </c>
      <c r="U492" s="7">
        <v>0</v>
      </c>
      <c r="V492" s="7" t="s">
        <v>493</v>
      </c>
      <c r="W492" s="7" t="s">
        <v>493</v>
      </c>
      <c r="X492" s="7" t="s">
        <v>493</v>
      </c>
      <c r="Y492" s="7" t="s">
        <v>493</v>
      </c>
      <c r="Z492" s="7">
        <v>0</v>
      </c>
      <c r="AA492" s="7">
        <v>0</v>
      </c>
      <c r="AB492" s="7">
        <v>4</v>
      </c>
      <c r="AC492" s="7">
        <v>0</v>
      </c>
      <c r="AD492" s="7" t="s">
        <v>55</v>
      </c>
      <c r="AE492" s="8" t="s">
        <v>486</v>
      </c>
      <c r="AF492" s="7" t="s">
        <v>313</v>
      </c>
      <c r="AG492" s="7" t="s">
        <v>476</v>
      </c>
      <c r="AH492" s="7">
        <v>7.5</v>
      </c>
    </row>
    <row r="493" spans="1:34" x14ac:dyDescent="0.3">
      <c r="A493" s="4" t="s">
        <v>1489</v>
      </c>
      <c r="B493" s="4" t="s">
        <v>1490</v>
      </c>
      <c r="C493" s="4" t="s">
        <v>38</v>
      </c>
      <c r="D493" s="4" t="s">
        <v>654</v>
      </c>
      <c r="E493" s="4" t="s">
        <v>536</v>
      </c>
      <c r="F493" s="4" t="s">
        <v>471</v>
      </c>
      <c r="G493" s="4" t="s">
        <v>491</v>
      </c>
      <c r="H493" s="4" t="s">
        <v>473</v>
      </c>
      <c r="I493" s="4">
        <v>10</v>
      </c>
      <c r="J493" s="4">
        <v>9</v>
      </c>
      <c r="K493" s="4">
        <v>3</v>
      </c>
      <c r="L493" s="4">
        <v>233</v>
      </c>
      <c r="M493" s="4">
        <v>19</v>
      </c>
      <c r="N493" s="4">
        <v>38.83</v>
      </c>
      <c r="O493" s="4">
        <v>98.06</v>
      </c>
      <c r="P493" s="4">
        <v>0</v>
      </c>
      <c r="Q493" s="4">
        <v>0</v>
      </c>
      <c r="R493" s="4">
        <v>19</v>
      </c>
      <c r="S493" s="4">
        <v>11</v>
      </c>
      <c r="T493" s="4">
        <v>2</v>
      </c>
      <c r="U493" s="4">
        <v>16</v>
      </c>
      <c r="V493" s="4">
        <v>29.46</v>
      </c>
      <c r="W493" s="4">
        <v>9.92</v>
      </c>
      <c r="X493" s="4">
        <v>15.9</v>
      </c>
      <c r="Y493" s="4" t="s">
        <v>671</v>
      </c>
      <c r="Z493" s="4">
        <v>0</v>
      </c>
      <c r="AA493" s="4">
        <v>34</v>
      </c>
      <c r="AB493" s="4">
        <v>4</v>
      </c>
      <c r="AC493" s="4">
        <v>0</v>
      </c>
      <c r="AD493" s="4" t="s">
        <v>46</v>
      </c>
      <c r="AE493" s="3" t="s">
        <v>475</v>
      </c>
      <c r="AF493" s="4" t="s">
        <v>66</v>
      </c>
      <c r="AG493" s="4" t="s">
        <v>476</v>
      </c>
      <c r="AH493" s="4">
        <v>18</v>
      </c>
    </row>
    <row r="494" spans="1:34" x14ac:dyDescent="0.3">
      <c r="A494" s="7" t="s">
        <v>1491</v>
      </c>
      <c r="B494" s="7" t="s">
        <v>1492</v>
      </c>
      <c r="C494" s="7" t="s">
        <v>19</v>
      </c>
      <c r="D494" s="7" t="s">
        <v>469</v>
      </c>
      <c r="E494" s="7" t="s">
        <v>483</v>
      </c>
      <c r="F494" s="7" t="s">
        <v>484</v>
      </c>
      <c r="G494" s="7" t="s">
        <v>491</v>
      </c>
      <c r="H494" s="7" t="s">
        <v>556</v>
      </c>
      <c r="I494" s="7">
        <v>14</v>
      </c>
      <c r="J494" s="7">
        <v>13</v>
      </c>
      <c r="K494" s="7">
        <v>2</v>
      </c>
      <c r="L494" s="7">
        <v>494</v>
      </c>
      <c r="M494" s="7">
        <v>37</v>
      </c>
      <c r="N494" s="7">
        <v>44.91</v>
      </c>
      <c r="O494" s="7">
        <v>164.49</v>
      </c>
      <c r="P494" s="7">
        <v>0</v>
      </c>
      <c r="Q494" s="7">
        <v>0</v>
      </c>
      <c r="R494" s="7">
        <v>67</v>
      </c>
      <c r="S494" s="7">
        <v>25</v>
      </c>
      <c r="T494" s="7">
        <v>0</v>
      </c>
      <c r="U494" s="7">
        <v>8</v>
      </c>
      <c r="V494" s="7">
        <v>24.43</v>
      </c>
      <c r="W494" s="7">
        <v>9.48</v>
      </c>
      <c r="X494" s="7">
        <v>16.11</v>
      </c>
      <c r="Y494" s="7" t="s">
        <v>599</v>
      </c>
      <c r="Z494" s="7">
        <v>0</v>
      </c>
      <c r="AA494" s="7">
        <v>49.1</v>
      </c>
      <c r="AB494" s="7">
        <v>11</v>
      </c>
      <c r="AC494" s="7">
        <v>0</v>
      </c>
      <c r="AD494" s="7" t="s">
        <v>38</v>
      </c>
      <c r="AE494" s="8" t="s">
        <v>486</v>
      </c>
      <c r="AF494" s="7" t="s">
        <v>381</v>
      </c>
      <c r="AG494" s="7" t="s">
        <v>502</v>
      </c>
      <c r="AH494" s="7">
        <v>0.4</v>
      </c>
    </row>
    <row r="495" spans="1:34" x14ac:dyDescent="0.3">
      <c r="A495" s="4" t="s">
        <v>1493</v>
      </c>
      <c r="B495" s="4" t="s">
        <v>1494</v>
      </c>
      <c r="C495" s="4" t="s">
        <v>19</v>
      </c>
      <c r="D495" s="4" t="s">
        <v>469</v>
      </c>
      <c r="E495" s="4" t="s">
        <v>483</v>
      </c>
      <c r="F495" s="4" t="s">
        <v>484</v>
      </c>
      <c r="G495" s="4" t="s">
        <v>472</v>
      </c>
      <c r="H495" s="4" t="s">
        <v>556</v>
      </c>
      <c r="I495" s="4">
        <v>8</v>
      </c>
      <c r="J495" s="4">
        <v>6</v>
      </c>
      <c r="K495" s="4">
        <v>3</v>
      </c>
      <c r="L495" s="4">
        <v>122</v>
      </c>
      <c r="M495" s="4">
        <v>102</v>
      </c>
      <c r="N495" s="4">
        <v>40.67</v>
      </c>
      <c r="O495" s="4">
        <v>167.6</v>
      </c>
      <c r="P495" s="4">
        <v>0</v>
      </c>
      <c r="Q495" s="4">
        <v>0</v>
      </c>
      <c r="R495" s="4">
        <v>14</v>
      </c>
      <c r="S495" s="4">
        <v>13</v>
      </c>
      <c r="T495" s="4">
        <v>0</v>
      </c>
      <c r="U495" s="4">
        <v>3</v>
      </c>
      <c r="V495" s="4">
        <v>17.670000000000002</v>
      </c>
      <c r="W495" s="4">
        <v>6.57</v>
      </c>
      <c r="X495" s="4">
        <v>13.32</v>
      </c>
      <c r="Y495" s="4" t="s">
        <v>619</v>
      </c>
      <c r="Z495" s="4">
        <v>0</v>
      </c>
      <c r="AA495" s="4">
        <v>29.9</v>
      </c>
      <c r="AB495" s="4">
        <v>8</v>
      </c>
      <c r="AC495" s="4">
        <v>0</v>
      </c>
      <c r="AD495" s="4" t="s">
        <v>47</v>
      </c>
      <c r="AE495" s="3" t="s">
        <v>475</v>
      </c>
      <c r="AF495" s="4" t="s">
        <v>181</v>
      </c>
      <c r="AG495" s="4" t="s">
        <v>502</v>
      </c>
      <c r="AH495" s="4">
        <v>18</v>
      </c>
    </row>
    <row r="496" spans="1:34" x14ac:dyDescent="0.3">
      <c r="A496" s="7" t="s">
        <v>1495</v>
      </c>
      <c r="B496" s="7" t="s">
        <v>1496</v>
      </c>
      <c r="C496" s="7" t="s">
        <v>37</v>
      </c>
      <c r="D496" s="7" t="s">
        <v>555</v>
      </c>
      <c r="E496" s="7" t="s">
        <v>489</v>
      </c>
      <c r="F496" s="7" t="s">
        <v>490</v>
      </c>
      <c r="G496" s="7" t="s">
        <v>472</v>
      </c>
      <c r="H496" s="7" t="s">
        <v>492</v>
      </c>
      <c r="I496" s="7">
        <v>13</v>
      </c>
      <c r="J496" s="7">
        <v>12</v>
      </c>
      <c r="K496" s="7">
        <v>3</v>
      </c>
      <c r="L496" s="7">
        <v>299</v>
      </c>
      <c r="M496" s="7">
        <v>45</v>
      </c>
      <c r="N496" s="7">
        <v>33.22</v>
      </c>
      <c r="O496" s="7">
        <v>183.16</v>
      </c>
      <c r="P496" s="7">
        <v>0</v>
      </c>
      <c r="Q496" s="7">
        <v>0</v>
      </c>
      <c r="R496" s="7">
        <v>32</v>
      </c>
      <c r="S496" s="7">
        <v>27</v>
      </c>
      <c r="T496" s="7">
        <v>1</v>
      </c>
      <c r="U496" s="7">
        <v>0</v>
      </c>
      <c r="V496" s="7" t="s">
        <v>493</v>
      </c>
      <c r="W496" s="7" t="s">
        <v>493</v>
      </c>
      <c r="X496" s="7" t="s">
        <v>493</v>
      </c>
      <c r="Y496" s="7" t="s">
        <v>493</v>
      </c>
      <c r="Z496" s="7">
        <v>0</v>
      </c>
      <c r="AA496" s="7">
        <v>0</v>
      </c>
      <c r="AB496" s="7">
        <v>7</v>
      </c>
      <c r="AC496" s="7">
        <v>0</v>
      </c>
      <c r="AD496" s="7" t="s">
        <v>55</v>
      </c>
      <c r="AE496" s="8" t="s">
        <v>486</v>
      </c>
      <c r="AF496" s="7" t="s">
        <v>181</v>
      </c>
      <c r="AG496" s="7" t="s">
        <v>476</v>
      </c>
      <c r="AH496" s="7">
        <v>0.5</v>
      </c>
    </row>
    <row r="497" spans="1:34" x14ac:dyDescent="0.3">
      <c r="A497" s="4" t="s">
        <v>1497</v>
      </c>
      <c r="B497" s="4" t="s">
        <v>1498</v>
      </c>
      <c r="C497" s="4" t="s">
        <v>46</v>
      </c>
      <c r="D497" s="4" t="s">
        <v>622</v>
      </c>
      <c r="E497" s="4" t="s">
        <v>483</v>
      </c>
      <c r="F497" s="4" t="s">
        <v>471</v>
      </c>
      <c r="G497" s="4" t="s">
        <v>491</v>
      </c>
      <c r="H497" s="4" t="s">
        <v>514</v>
      </c>
      <c r="I497" s="4">
        <v>13</v>
      </c>
      <c r="J497" s="4">
        <v>12</v>
      </c>
      <c r="K497" s="4">
        <v>1</v>
      </c>
      <c r="L497" s="4">
        <v>100</v>
      </c>
      <c r="M497" s="4">
        <v>17</v>
      </c>
      <c r="N497" s="4">
        <v>9.09</v>
      </c>
      <c r="O497" s="4">
        <v>124.13</v>
      </c>
      <c r="P497" s="4">
        <v>0</v>
      </c>
      <c r="Q497" s="4">
        <v>0</v>
      </c>
      <c r="R497" s="4">
        <v>8</v>
      </c>
      <c r="S497" s="4">
        <v>5</v>
      </c>
      <c r="T497" s="4">
        <v>0</v>
      </c>
      <c r="U497" s="4">
        <v>31</v>
      </c>
      <c r="V497" s="4">
        <v>26.69</v>
      </c>
      <c r="W497" s="4">
        <v>7.88</v>
      </c>
      <c r="X497" s="4">
        <v>19.760000000000002</v>
      </c>
      <c r="Y497" s="4" t="s">
        <v>585</v>
      </c>
      <c r="Z497" s="4">
        <v>0</v>
      </c>
      <c r="AA497" s="4">
        <v>37.299999999999997</v>
      </c>
      <c r="AB497" s="4">
        <v>11</v>
      </c>
      <c r="AC497" s="4">
        <v>0</v>
      </c>
      <c r="AD497" s="4" t="s">
        <v>142</v>
      </c>
      <c r="AE497" s="3" t="s">
        <v>475</v>
      </c>
      <c r="AF497" s="4" t="s">
        <v>274</v>
      </c>
      <c r="AG497" s="4" t="s">
        <v>502</v>
      </c>
      <c r="AH497" s="4">
        <v>21</v>
      </c>
    </row>
    <row r="498" spans="1:34" x14ac:dyDescent="0.3">
      <c r="A498" s="7" t="s">
        <v>1499</v>
      </c>
      <c r="B498" s="7" t="s">
        <v>1500</v>
      </c>
      <c r="C498" s="7" t="s">
        <v>46</v>
      </c>
      <c r="D498" s="7" t="s">
        <v>622</v>
      </c>
      <c r="E498" s="7" t="s">
        <v>483</v>
      </c>
      <c r="F498" s="7" t="s">
        <v>490</v>
      </c>
      <c r="G498" s="7" t="s">
        <v>491</v>
      </c>
      <c r="H498" s="7" t="s">
        <v>492</v>
      </c>
      <c r="I498" s="7">
        <v>10</v>
      </c>
      <c r="J498" s="7">
        <v>10</v>
      </c>
      <c r="K498" s="7">
        <v>2</v>
      </c>
      <c r="L498" s="7">
        <v>234</v>
      </c>
      <c r="M498" s="7">
        <v>95</v>
      </c>
      <c r="N498" s="7">
        <v>29.25</v>
      </c>
      <c r="O498" s="7">
        <v>119.12</v>
      </c>
      <c r="P498" s="7">
        <v>0</v>
      </c>
      <c r="Q498" s="7">
        <v>0</v>
      </c>
      <c r="R498" s="7">
        <v>23</v>
      </c>
      <c r="S498" s="7">
        <v>26</v>
      </c>
      <c r="T498" s="7">
        <v>0</v>
      </c>
      <c r="U498" s="7">
        <v>0</v>
      </c>
      <c r="V498" s="7" t="s">
        <v>493</v>
      </c>
      <c r="W498" s="7" t="s">
        <v>493</v>
      </c>
      <c r="X498" s="7" t="s">
        <v>493</v>
      </c>
      <c r="Y498" s="7" t="s">
        <v>493</v>
      </c>
      <c r="Z498" s="7">
        <v>0</v>
      </c>
      <c r="AA498" s="7">
        <v>0</v>
      </c>
      <c r="AB498" s="7">
        <v>10</v>
      </c>
      <c r="AC498" s="7">
        <v>0</v>
      </c>
      <c r="AD498" s="7" t="s">
        <v>81</v>
      </c>
      <c r="AE498" s="3" t="s">
        <v>475</v>
      </c>
      <c r="AF498" s="7" t="s">
        <v>289</v>
      </c>
      <c r="AG498" s="7" t="s">
        <v>502</v>
      </c>
      <c r="AH498" s="7">
        <v>0.4</v>
      </c>
    </row>
    <row r="499" spans="1:34" x14ac:dyDescent="0.3">
      <c r="A499" s="4" t="s">
        <v>1501</v>
      </c>
      <c r="B499" s="4" t="s">
        <v>1502</v>
      </c>
      <c r="C499" s="4" t="s">
        <v>46</v>
      </c>
      <c r="D499" s="4" t="s">
        <v>622</v>
      </c>
      <c r="E499" s="4" t="s">
        <v>483</v>
      </c>
      <c r="F499" s="4" t="s">
        <v>471</v>
      </c>
      <c r="G499" s="4" t="s">
        <v>491</v>
      </c>
      <c r="H499" s="4" t="s">
        <v>556</v>
      </c>
      <c r="I499" s="4">
        <v>12</v>
      </c>
      <c r="J499" s="4">
        <v>11</v>
      </c>
      <c r="K499" s="4">
        <v>0</v>
      </c>
      <c r="L499" s="4">
        <v>98</v>
      </c>
      <c r="M499" s="4">
        <v>18</v>
      </c>
      <c r="N499" s="4">
        <v>8.91</v>
      </c>
      <c r="O499" s="4">
        <v>129.94999999999999</v>
      </c>
      <c r="P499" s="4">
        <v>0</v>
      </c>
      <c r="Q499" s="4">
        <v>0</v>
      </c>
      <c r="R499" s="4">
        <v>8</v>
      </c>
      <c r="S499" s="4">
        <v>4</v>
      </c>
      <c r="T499" s="4">
        <v>2</v>
      </c>
      <c r="U499" s="4">
        <v>21</v>
      </c>
      <c r="V499" s="4">
        <v>19.3</v>
      </c>
      <c r="W499" s="4">
        <v>8.65</v>
      </c>
      <c r="X499" s="4">
        <v>15.99</v>
      </c>
      <c r="Y499" s="4" t="s">
        <v>538</v>
      </c>
      <c r="Z499" s="4">
        <v>0</v>
      </c>
      <c r="AA499" s="4">
        <v>40.9</v>
      </c>
      <c r="AB499" s="4">
        <v>5</v>
      </c>
      <c r="AC499" s="4">
        <v>0</v>
      </c>
      <c r="AD499" s="4" t="s">
        <v>55</v>
      </c>
      <c r="AE499" s="8" t="s">
        <v>486</v>
      </c>
      <c r="AF499" s="4" t="s">
        <v>181</v>
      </c>
      <c r="AG499" s="4" t="s">
        <v>476</v>
      </c>
      <c r="AH499" s="4">
        <v>2</v>
      </c>
    </row>
    <row r="500" spans="1:34" x14ac:dyDescent="0.3">
      <c r="A500" s="7" t="s">
        <v>1503</v>
      </c>
      <c r="B500" s="7" t="s">
        <v>1504</v>
      </c>
      <c r="C500" s="7" t="s">
        <v>20</v>
      </c>
      <c r="D500" s="7" t="s">
        <v>523</v>
      </c>
      <c r="E500" s="7" t="s">
        <v>483</v>
      </c>
      <c r="F500" s="7" t="s">
        <v>471</v>
      </c>
      <c r="G500" s="7" t="s">
        <v>472</v>
      </c>
      <c r="H500" s="7" t="s">
        <v>514</v>
      </c>
      <c r="I500" s="7">
        <v>8</v>
      </c>
      <c r="J500" s="7">
        <v>7</v>
      </c>
      <c r="K500" s="7">
        <v>3</v>
      </c>
      <c r="L500" s="7">
        <v>80</v>
      </c>
      <c r="M500" s="7">
        <v>18</v>
      </c>
      <c r="N500" s="7">
        <v>20</v>
      </c>
      <c r="O500" s="7">
        <v>104.74</v>
      </c>
      <c r="P500" s="7">
        <v>0</v>
      </c>
      <c r="Q500" s="7">
        <v>0</v>
      </c>
      <c r="R500" s="7">
        <v>6</v>
      </c>
      <c r="S500" s="7">
        <v>4</v>
      </c>
      <c r="T500" s="7">
        <v>2</v>
      </c>
      <c r="U500" s="7">
        <v>7</v>
      </c>
      <c r="V500" s="7">
        <v>31.15</v>
      </c>
      <c r="W500" s="7">
        <v>10.06</v>
      </c>
      <c r="X500" s="7">
        <v>15.87</v>
      </c>
      <c r="Y500" s="7" t="s">
        <v>583</v>
      </c>
      <c r="Z500" s="7">
        <v>0</v>
      </c>
      <c r="AA500" s="7">
        <v>29.7</v>
      </c>
      <c r="AB500" s="7">
        <v>3</v>
      </c>
      <c r="AC500" s="7">
        <v>0</v>
      </c>
      <c r="AD500" s="7" t="s">
        <v>142</v>
      </c>
      <c r="AE500" s="3" t="s">
        <v>475</v>
      </c>
      <c r="AF500" s="7" t="s">
        <v>328</v>
      </c>
      <c r="AG500" s="7" t="s">
        <v>476</v>
      </c>
      <c r="AH500" s="7">
        <v>1</v>
      </c>
    </row>
    <row r="501" spans="1:34" x14ac:dyDescent="0.3">
      <c r="A501" s="4" t="s">
        <v>1505</v>
      </c>
      <c r="B501" s="4" t="s">
        <v>1506</v>
      </c>
      <c r="C501" s="4" t="s">
        <v>20</v>
      </c>
      <c r="D501" s="4" t="s">
        <v>523</v>
      </c>
      <c r="E501" s="4" t="s">
        <v>479</v>
      </c>
      <c r="F501" s="4" t="s">
        <v>490</v>
      </c>
      <c r="G501" s="4" t="s">
        <v>472</v>
      </c>
      <c r="H501" s="4" t="s">
        <v>492</v>
      </c>
      <c r="I501" s="4">
        <v>8</v>
      </c>
      <c r="J501" s="4">
        <v>8</v>
      </c>
      <c r="K501" s="4">
        <v>3</v>
      </c>
      <c r="L501" s="4">
        <v>170</v>
      </c>
      <c r="M501" s="4">
        <v>56</v>
      </c>
      <c r="N501" s="4">
        <v>34</v>
      </c>
      <c r="O501" s="4">
        <v>174.15</v>
      </c>
      <c r="P501" s="4">
        <v>0</v>
      </c>
      <c r="Q501" s="4">
        <v>0</v>
      </c>
      <c r="R501" s="4">
        <v>20</v>
      </c>
      <c r="S501" s="4">
        <v>20</v>
      </c>
      <c r="T501" s="4">
        <v>0</v>
      </c>
      <c r="U501" s="4">
        <v>0</v>
      </c>
      <c r="V501" s="4" t="s">
        <v>493</v>
      </c>
      <c r="W501" s="4" t="s">
        <v>493</v>
      </c>
      <c r="X501" s="4" t="s">
        <v>493</v>
      </c>
      <c r="Y501" s="4" t="s">
        <v>493</v>
      </c>
      <c r="Z501" s="4">
        <v>0</v>
      </c>
      <c r="AA501" s="4">
        <v>0</v>
      </c>
      <c r="AB501" s="4">
        <v>8</v>
      </c>
      <c r="AC501" s="4">
        <v>0</v>
      </c>
      <c r="AD501" s="4" t="s">
        <v>20</v>
      </c>
      <c r="AE501" s="3" t="s">
        <v>475</v>
      </c>
      <c r="AF501" s="4" t="s">
        <v>15</v>
      </c>
      <c r="AG501" s="4" t="s">
        <v>476</v>
      </c>
      <c r="AH501" s="4">
        <v>6</v>
      </c>
    </row>
    <row r="502" spans="1:34" x14ac:dyDescent="0.3">
      <c r="I502">
        <f>SUM(I2:I501)</f>
        <v>5435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11"/>
  <sheetViews>
    <sheetView workbookViewId="0">
      <pane ySplit="1" topLeftCell="A2" activePane="bottomLeft" state="frozen"/>
      <selection pane="bottomLeft" activeCell="I7" sqref="A1:L11"/>
    </sheetView>
  </sheetViews>
  <sheetFormatPr defaultRowHeight="14.4" x14ac:dyDescent="0.3"/>
  <cols>
    <col min="1" max="1" width="8" customWidth="1"/>
    <col min="2" max="2" width="26" customWidth="1"/>
    <col min="3" max="8" width="8" customWidth="1"/>
    <col min="9" max="9" width="20" customWidth="1"/>
    <col min="10" max="10" width="18" customWidth="1"/>
    <col min="11" max="11" width="28" customWidth="1"/>
  </cols>
  <sheetData>
    <row r="1" spans="1:12" ht="30" customHeight="1" x14ac:dyDescent="0.3">
      <c r="A1" s="9" t="s">
        <v>1507</v>
      </c>
      <c r="B1" s="9" t="s">
        <v>435</v>
      </c>
      <c r="C1" s="9" t="s">
        <v>1508</v>
      </c>
      <c r="D1" s="9" t="s">
        <v>441</v>
      </c>
      <c r="E1" s="9" t="s">
        <v>1509</v>
      </c>
      <c r="F1" s="9" t="s">
        <v>1510</v>
      </c>
      <c r="G1" s="9" t="s">
        <v>1511</v>
      </c>
      <c r="H1" s="9" t="s">
        <v>1512</v>
      </c>
      <c r="I1" s="9" t="s">
        <v>1513</v>
      </c>
      <c r="J1" s="9" t="s">
        <v>1514</v>
      </c>
      <c r="K1" s="9" t="s">
        <v>1515</v>
      </c>
      <c r="L1" s="9" t="s">
        <v>1516</v>
      </c>
    </row>
    <row r="2" spans="1:12" x14ac:dyDescent="0.3">
      <c r="A2" s="10">
        <v>1</v>
      </c>
      <c r="B2" s="10" t="s">
        <v>20</v>
      </c>
      <c r="C2" s="10" t="s">
        <v>523</v>
      </c>
      <c r="D2" s="10">
        <v>16</v>
      </c>
      <c r="E2" s="10">
        <v>11</v>
      </c>
      <c r="F2" s="10">
        <v>5</v>
      </c>
      <c r="G2" s="10">
        <v>22</v>
      </c>
      <c r="H2" s="10">
        <v>4.9000000000000002E-2</v>
      </c>
      <c r="I2" s="10" t="s">
        <v>502</v>
      </c>
      <c r="J2" s="10" t="s">
        <v>1517</v>
      </c>
      <c r="K2" s="10">
        <v>5</v>
      </c>
      <c r="L2" s="10" t="s">
        <v>1518</v>
      </c>
    </row>
    <row r="3" spans="1:12" x14ac:dyDescent="0.3">
      <c r="A3" s="4">
        <v>2</v>
      </c>
      <c r="B3" s="4" t="s">
        <v>55</v>
      </c>
      <c r="C3" s="4" t="s">
        <v>588</v>
      </c>
      <c r="D3" s="4">
        <v>16</v>
      </c>
      <c r="E3" s="4">
        <v>9</v>
      </c>
      <c r="F3" s="4">
        <v>7</v>
      </c>
      <c r="G3" s="4">
        <v>18</v>
      </c>
      <c r="H3" s="4">
        <v>0.153</v>
      </c>
      <c r="I3" s="4" t="s">
        <v>502</v>
      </c>
      <c r="J3" s="4" t="s">
        <v>1519</v>
      </c>
      <c r="K3" s="4">
        <v>3</v>
      </c>
      <c r="L3" s="4" t="s">
        <v>1520</v>
      </c>
    </row>
    <row r="4" spans="1:12" x14ac:dyDescent="0.3">
      <c r="A4" s="10">
        <v>3</v>
      </c>
      <c r="B4" s="10" t="s">
        <v>81</v>
      </c>
      <c r="C4" s="10" t="s">
        <v>750</v>
      </c>
      <c r="D4" s="10">
        <v>13</v>
      </c>
      <c r="E4" s="10">
        <v>9</v>
      </c>
      <c r="F4" s="10">
        <v>4</v>
      </c>
      <c r="G4" s="10">
        <v>18</v>
      </c>
      <c r="H4" s="10">
        <v>-0.46400000000000002</v>
      </c>
      <c r="I4" s="10" t="s">
        <v>502</v>
      </c>
      <c r="J4" s="10" t="s">
        <v>1519</v>
      </c>
      <c r="K4" s="10">
        <v>0</v>
      </c>
      <c r="L4" s="10" t="s">
        <v>492</v>
      </c>
    </row>
    <row r="5" spans="1:12" x14ac:dyDescent="0.3">
      <c r="A5" s="4">
        <v>4</v>
      </c>
      <c r="B5" s="4" t="s">
        <v>28</v>
      </c>
      <c r="C5" s="4" t="s">
        <v>779</v>
      </c>
      <c r="D5" s="4">
        <v>16</v>
      </c>
      <c r="E5" s="4">
        <v>8</v>
      </c>
      <c r="F5" s="4">
        <v>8</v>
      </c>
      <c r="G5" s="4">
        <v>16</v>
      </c>
      <c r="H5" s="4">
        <v>0.76100000000000001</v>
      </c>
      <c r="I5" s="4" t="s">
        <v>502</v>
      </c>
      <c r="J5" s="4" t="s">
        <v>1519</v>
      </c>
      <c r="K5" s="4">
        <v>1</v>
      </c>
      <c r="L5" s="4" t="s">
        <v>1521</v>
      </c>
    </row>
    <row r="6" spans="1:12" x14ac:dyDescent="0.3">
      <c r="A6" s="10">
        <v>5</v>
      </c>
      <c r="B6" s="10" t="s">
        <v>38</v>
      </c>
      <c r="C6" s="10" t="s">
        <v>654</v>
      </c>
      <c r="D6" s="10">
        <v>12</v>
      </c>
      <c r="E6" s="10">
        <v>8</v>
      </c>
      <c r="F6" s="10">
        <v>4</v>
      </c>
      <c r="G6" s="10">
        <v>16</v>
      </c>
      <c r="H6" s="10">
        <v>0.629</v>
      </c>
      <c r="I6" s="10" t="s">
        <v>476</v>
      </c>
      <c r="J6" s="10" t="s">
        <v>1522</v>
      </c>
      <c r="K6" s="10">
        <v>0</v>
      </c>
      <c r="L6" s="10" t="s">
        <v>492</v>
      </c>
    </row>
    <row r="7" spans="1:12" x14ac:dyDescent="0.3">
      <c r="A7" s="4">
        <v>6</v>
      </c>
      <c r="B7" s="4" t="s">
        <v>37</v>
      </c>
      <c r="C7" s="4" t="s">
        <v>555</v>
      </c>
      <c r="D7" s="4">
        <v>16</v>
      </c>
      <c r="E7" s="4">
        <v>7</v>
      </c>
      <c r="F7" s="4">
        <v>9</v>
      </c>
      <c r="G7" s="4">
        <v>14</v>
      </c>
      <c r="H7" s="4">
        <v>-1.0999999999999999E-2</v>
      </c>
      <c r="I7" s="4" t="s">
        <v>476</v>
      </c>
      <c r="J7" s="4" t="s">
        <v>1523</v>
      </c>
      <c r="K7" s="4">
        <v>1</v>
      </c>
      <c r="L7" s="4" t="s">
        <v>1524</v>
      </c>
    </row>
    <row r="8" spans="1:12" x14ac:dyDescent="0.3">
      <c r="A8" s="10">
        <v>7</v>
      </c>
      <c r="B8" s="10" t="s">
        <v>19</v>
      </c>
      <c r="C8" s="10" t="s">
        <v>469</v>
      </c>
      <c r="D8" s="10">
        <v>15</v>
      </c>
      <c r="E8" s="10">
        <v>6</v>
      </c>
      <c r="F8" s="10">
        <v>9</v>
      </c>
      <c r="G8" s="10">
        <v>12</v>
      </c>
      <c r="H8" s="10">
        <v>0.107</v>
      </c>
      <c r="I8" s="10" t="s">
        <v>476</v>
      </c>
      <c r="J8" s="10" t="s">
        <v>1522</v>
      </c>
      <c r="K8" s="10">
        <v>5</v>
      </c>
      <c r="L8" s="10" t="s">
        <v>1525</v>
      </c>
    </row>
    <row r="9" spans="1:12" x14ac:dyDescent="0.3">
      <c r="A9" s="4">
        <v>8</v>
      </c>
      <c r="B9" s="4" t="s">
        <v>47</v>
      </c>
      <c r="C9" s="4" t="s">
        <v>717</v>
      </c>
      <c r="D9" s="4">
        <v>10</v>
      </c>
      <c r="E9" s="4">
        <v>5</v>
      </c>
      <c r="F9" s="4">
        <v>5</v>
      </c>
      <c r="G9" s="4">
        <v>10</v>
      </c>
      <c r="H9" s="4">
        <v>-8.6999999999999994E-2</v>
      </c>
      <c r="I9" s="4" t="s">
        <v>476</v>
      </c>
      <c r="J9" s="4" t="s">
        <v>1522</v>
      </c>
      <c r="K9" s="4">
        <v>1</v>
      </c>
      <c r="L9" s="4" t="s">
        <v>1526</v>
      </c>
    </row>
    <row r="10" spans="1:12" x14ac:dyDescent="0.3">
      <c r="A10" s="10">
        <v>9</v>
      </c>
      <c r="B10" s="10" t="s">
        <v>142</v>
      </c>
      <c r="C10" s="10" t="s">
        <v>684</v>
      </c>
      <c r="D10" s="10">
        <v>12</v>
      </c>
      <c r="E10" s="10">
        <v>4</v>
      </c>
      <c r="F10" s="10">
        <v>8</v>
      </c>
      <c r="G10" s="10">
        <v>8</v>
      </c>
      <c r="H10" s="10">
        <v>-0.157</v>
      </c>
      <c r="I10" s="10" t="s">
        <v>476</v>
      </c>
      <c r="J10" s="10" t="s">
        <v>1522</v>
      </c>
      <c r="K10" s="10">
        <v>1</v>
      </c>
      <c r="L10" s="10" t="s">
        <v>1527</v>
      </c>
    </row>
    <row r="11" spans="1:12" x14ac:dyDescent="0.3">
      <c r="A11" s="4">
        <v>10</v>
      </c>
      <c r="B11" s="4" t="s">
        <v>46</v>
      </c>
      <c r="C11" s="4" t="s">
        <v>622</v>
      </c>
      <c r="D11" s="4">
        <v>14</v>
      </c>
      <c r="E11" s="4">
        <v>3</v>
      </c>
      <c r="F11" s="4">
        <v>11</v>
      </c>
      <c r="G11" s="4">
        <v>6</v>
      </c>
      <c r="H11" s="4">
        <v>0.70499999999999996</v>
      </c>
      <c r="I11" s="4" t="s">
        <v>476</v>
      </c>
      <c r="J11" s="4" t="s">
        <v>1522</v>
      </c>
      <c r="K11" s="4">
        <v>0</v>
      </c>
      <c r="L11" s="4" t="s">
        <v>492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9"/>
  <sheetViews>
    <sheetView workbookViewId="0">
      <selection activeCell="F12" sqref="F12"/>
    </sheetView>
  </sheetViews>
  <sheetFormatPr defaultRowHeight="14.4" x14ac:dyDescent="0.3"/>
  <cols>
    <col min="1" max="1" width="8" customWidth="1"/>
    <col min="2" max="2" width="30" customWidth="1"/>
    <col min="3" max="3" width="8" customWidth="1"/>
  </cols>
  <sheetData>
    <row r="1" spans="1:3" ht="30" customHeight="1" x14ac:dyDescent="0.3">
      <c r="A1" s="11" t="s">
        <v>1528</v>
      </c>
      <c r="B1" s="11" t="s">
        <v>1529</v>
      </c>
      <c r="C1" s="11" t="s">
        <v>1508</v>
      </c>
    </row>
    <row r="2" spans="1:3" x14ac:dyDescent="0.3">
      <c r="A2" s="12">
        <v>2008</v>
      </c>
      <c r="B2" s="12" t="s">
        <v>142</v>
      </c>
      <c r="C2" s="12" t="s">
        <v>684</v>
      </c>
    </row>
    <row r="3" spans="1:3" x14ac:dyDescent="0.3">
      <c r="A3" s="4">
        <v>2009</v>
      </c>
      <c r="B3" s="4" t="s">
        <v>1530</v>
      </c>
      <c r="C3" s="4" t="s">
        <v>1530</v>
      </c>
    </row>
    <row r="4" spans="1:3" x14ac:dyDescent="0.3">
      <c r="A4" s="12">
        <v>2010</v>
      </c>
      <c r="B4" s="12" t="s">
        <v>20</v>
      </c>
      <c r="C4" s="12" t="s">
        <v>523</v>
      </c>
    </row>
    <row r="5" spans="1:3" x14ac:dyDescent="0.3">
      <c r="A5" s="4">
        <v>2011</v>
      </c>
      <c r="B5" s="4" t="s">
        <v>20</v>
      </c>
      <c r="C5" s="4" t="s">
        <v>523</v>
      </c>
    </row>
    <row r="6" spans="1:3" x14ac:dyDescent="0.3">
      <c r="A6" s="12">
        <v>2012</v>
      </c>
      <c r="B6" s="12" t="s">
        <v>55</v>
      </c>
      <c r="C6" s="12" t="s">
        <v>588</v>
      </c>
    </row>
    <row r="7" spans="1:3" x14ac:dyDescent="0.3">
      <c r="A7" s="4">
        <v>2013</v>
      </c>
      <c r="B7" s="4" t="s">
        <v>19</v>
      </c>
      <c r="C7" s="4" t="s">
        <v>469</v>
      </c>
    </row>
    <row r="8" spans="1:3" x14ac:dyDescent="0.3">
      <c r="A8" s="12">
        <v>2014</v>
      </c>
      <c r="B8" s="12" t="s">
        <v>55</v>
      </c>
      <c r="C8" s="12" t="s">
        <v>588</v>
      </c>
    </row>
    <row r="9" spans="1:3" x14ac:dyDescent="0.3">
      <c r="A9" s="4">
        <v>2015</v>
      </c>
      <c r="B9" s="4" t="s">
        <v>19</v>
      </c>
      <c r="C9" s="4" t="s">
        <v>469</v>
      </c>
    </row>
    <row r="10" spans="1:3" x14ac:dyDescent="0.3">
      <c r="A10" s="12">
        <v>2016</v>
      </c>
      <c r="B10" s="12" t="s">
        <v>47</v>
      </c>
      <c r="C10" s="12" t="s">
        <v>717</v>
      </c>
    </row>
    <row r="11" spans="1:3" x14ac:dyDescent="0.3">
      <c r="A11" s="4">
        <v>2017</v>
      </c>
      <c r="B11" s="4" t="s">
        <v>19</v>
      </c>
      <c r="C11" s="4" t="s">
        <v>469</v>
      </c>
    </row>
    <row r="12" spans="1:3" x14ac:dyDescent="0.3">
      <c r="A12" s="12">
        <v>2018</v>
      </c>
      <c r="B12" s="12" t="s">
        <v>20</v>
      </c>
      <c r="C12" s="12" t="s">
        <v>523</v>
      </c>
    </row>
    <row r="13" spans="1:3" x14ac:dyDescent="0.3">
      <c r="A13" s="4">
        <v>2019</v>
      </c>
      <c r="B13" s="4" t="s">
        <v>19</v>
      </c>
      <c r="C13" s="4" t="s">
        <v>469</v>
      </c>
    </row>
    <row r="14" spans="1:3" x14ac:dyDescent="0.3">
      <c r="A14" s="12">
        <v>2020</v>
      </c>
      <c r="B14" s="12" t="s">
        <v>19</v>
      </c>
      <c r="C14" s="12" t="s">
        <v>469</v>
      </c>
    </row>
    <row r="15" spans="1:3" x14ac:dyDescent="0.3">
      <c r="A15" s="4">
        <v>2021</v>
      </c>
      <c r="B15" s="4" t="s">
        <v>20</v>
      </c>
      <c r="C15" s="4" t="s">
        <v>523</v>
      </c>
    </row>
    <row r="16" spans="1:3" x14ac:dyDescent="0.3">
      <c r="A16" s="12">
        <v>2022</v>
      </c>
      <c r="B16" s="12" t="s">
        <v>28</v>
      </c>
      <c r="C16" s="12" t="s">
        <v>779</v>
      </c>
    </row>
    <row r="17" spans="1:3" x14ac:dyDescent="0.3">
      <c r="A17" s="4">
        <v>2023</v>
      </c>
      <c r="B17" s="4" t="s">
        <v>20</v>
      </c>
      <c r="C17" s="4" t="s">
        <v>523</v>
      </c>
    </row>
    <row r="18" spans="1:3" x14ac:dyDescent="0.3">
      <c r="A18" s="12">
        <v>2024</v>
      </c>
      <c r="B18" s="12" t="s">
        <v>55</v>
      </c>
      <c r="C18" s="12" t="s">
        <v>588</v>
      </c>
    </row>
    <row r="19" spans="1:3" x14ac:dyDescent="0.3">
      <c r="A19" s="13">
        <v>2025</v>
      </c>
      <c r="B19" s="13" t="s">
        <v>37</v>
      </c>
      <c r="C19" s="13" t="s">
        <v>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Dashboard 1</vt:lpstr>
      <vt:lpstr>Dashboard 2</vt:lpstr>
      <vt:lpstr>IPL 2025 Matches</vt:lpstr>
      <vt:lpstr>Player Performance</vt:lpstr>
      <vt:lpstr>Team Standings</vt:lpstr>
      <vt:lpstr>IPL Title History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paras saini</cp:lastModifiedBy>
  <dcterms:created xsi:type="dcterms:W3CDTF">2026-05-14T05:14:46Z</dcterms:created>
  <dcterms:modified xsi:type="dcterms:W3CDTF">2026-06-16T06:12:29Z</dcterms:modified>
</cp:coreProperties>
</file>